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68918255-4F75-4CC9-902D-50D50A01C2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solver_adj" localSheetId="0" hidden="1">Sheet2!$B$4:$G$4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Sheet2!$M$1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2" l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6" i="2"/>
  <c r="G3" i="2" a="1"/>
  <c r="C3" i="2" a="1"/>
  <c r="C3" i="2" s="1"/>
  <c r="D3" i="2" a="1"/>
  <c r="D3" i="2" s="1"/>
  <c r="E3" i="2" a="1"/>
  <c r="E3" i="2" s="1"/>
  <c r="F3" i="2" a="1"/>
  <c r="F3" i="2" s="1"/>
  <c r="B3" i="2" a="1"/>
  <c r="B3" i="2" s="1"/>
  <c r="L8" i="2" l="1"/>
  <c r="M8" i="2" s="1"/>
  <c r="J8" i="2"/>
  <c r="K8" i="2" s="1"/>
  <c r="L11" i="2"/>
  <c r="M11" i="2" s="1"/>
  <c r="J11" i="2"/>
  <c r="K11" i="2" s="1"/>
  <c r="L24" i="2"/>
  <c r="M24" i="2" s="1"/>
  <c r="J24" i="2"/>
  <c r="K24" i="2" s="1"/>
  <c r="L25" i="2"/>
  <c r="M25" i="2" s="1"/>
  <c r="J25" i="2"/>
  <c r="K25" i="2" s="1"/>
  <c r="L26" i="2"/>
  <c r="M26" i="2" s="1"/>
  <c r="J26" i="2"/>
  <c r="K26" i="2" s="1"/>
  <c r="L27" i="2"/>
  <c r="M27" i="2" s="1"/>
  <c r="J27" i="2"/>
  <c r="K27" i="2" s="1"/>
  <c r="J28" i="2"/>
  <c r="K28" i="2" s="1"/>
  <c r="L28" i="2"/>
  <c r="M28" i="2" s="1"/>
  <c r="J41" i="2"/>
  <c r="K41" i="2" s="1"/>
  <c r="L41" i="2"/>
  <c r="M41" i="2" s="1"/>
  <c r="J42" i="2"/>
  <c r="K42" i="2" s="1"/>
  <c r="L42" i="2"/>
  <c r="M42" i="2" s="1"/>
  <c r="J43" i="2"/>
  <c r="K43" i="2" s="1"/>
  <c r="L43" i="2"/>
  <c r="M43" i="2" s="1"/>
  <c r="J44" i="2"/>
  <c r="K44" i="2" s="1"/>
  <c r="L44" i="2"/>
  <c r="M44" i="2" s="1"/>
  <c r="J45" i="2"/>
  <c r="K45" i="2" s="1"/>
  <c r="L45" i="2"/>
  <c r="M45" i="2" s="1"/>
  <c r="J46" i="2"/>
  <c r="K46" i="2" s="1"/>
  <c r="L46" i="2"/>
  <c r="M46" i="2" s="1"/>
  <c r="J47" i="2"/>
  <c r="K47" i="2" s="1"/>
  <c r="L47" i="2"/>
  <c r="M47" i="2" s="1"/>
  <c r="J48" i="2"/>
  <c r="K48" i="2" s="1"/>
  <c r="L48" i="2"/>
  <c r="M48" i="2" s="1"/>
  <c r="J49" i="2"/>
  <c r="K49" i="2" s="1"/>
  <c r="L49" i="2"/>
  <c r="M49" i="2" s="1"/>
  <c r="J50" i="2"/>
  <c r="K50" i="2" s="1"/>
  <c r="L50" i="2"/>
  <c r="M50" i="2" s="1"/>
  <c r="J51" i="2"/>
  <c r="K51" i="2" s="1"/>
  <c r="L51" i="2"/>
  <c r="M51" i="2" s="1"/>
  <c r="J52" i="2"/>
  <c r="K52" i="2" s="1"/>
  <c r="L52" i="2"/>
  <c r="M52" i="2" s="1"/>
  <c r="J53" i="2"/>
  <c r="K53" i="2" s="1"/>
  <c r="L53" i="2"/>
  <c r="M53" i="2" s="1"/>
  <c r="J54" i="2"/>
  <c r="K54" i="2" s="1"/>
  <c r="L54" i="2"/>
  <c r="M54" i="2" s="1"/>
  <c r="J55" i="2"/>
  <c r="K55" i="2" s="1"/>
  <c r="L55" i="2"/>
  <c r="M55" i="2" s="1"/>
  <c r="J56" i="2"/>
  <c r="K56" i="2" s="1"/>
  <c r="L56" i="2"/>
  <c r="M56" i="2" s="1"/>
  <c r="J57" i="2"/>
  <c r="K57" i="2" s="1"/>
  <c r="L57" i="2"/>
  <c r="M57" i="2" s="1"/>
  <c r="J58" i="2"/>
  <c r="K58" i="2" s="1"/>
  <c r="L58" i="2"/>
  <c r="M58" i="2" s="1"/>
  <c r="J59" i="2"/>
  <c r="K59" i="2" s="1"/>
  <c r="L59" i="2"/>
  <c r="M59" i="2" s="1"/>
  <c r="J60" i="2"/>
  <c r="K60" i="2" s="1"/>
  <c r="L60" i="2"/>
  <c r="M60" i="2" s="1"/>
  <c r="J61" i="2"/>
  <c r="K61" i="2" s="1"/>
  <c r="L61" i="2"/>
  <c r="M61" i="2" s="1"/>
  <c r="J62" i="2"/>
  <c r="K62" i="2" s="1"/>
  <c r="L62" i="2"/>
  <c r="M62" i="2" s="1"/>
  <c r="J63" i="2"/>
  <c r="K63" i="2" s="1"/>
  <c r="L63" i="2"/>
  <c r="M63" i="2" s="1"/>
  <c r="J64" i="2"/>
  <c r="K64" i="2" s="1"/>
  <c r="L64" i="2"/>
  <c r="M64" i="2" s="1"/>
  <c r="J65" i="2"/>
  <c r="K65" i="2" s="1"/>
  <c r="L65" i="2"/>
  <c r="M65" i="2" s="1"/>
  <c r="J66" i="2"/>
  <c r="K66" i="2" s="1"/>
  <c r="L66" i="2"/>
  <c r="M66" i="2" s="1"/>
  <c r="J67" i="2"/>
  <c r="K67" i="2" s="1"/>
  <c r="L67" i="2"/>
  <c r="M67" i="2" s="1"/>
  <c r="J68" i="2"/>
  <c r="K68" i="2" s="1"/>
  <c r="L68" i="2"/>
  <c r="M68" i="2" s="1"/>
  <c r="J69" i="2"/>
  <c r="K69" i="2" s="1"/>
  <c r="L69" i="2"/>
  <c r="M69" i="2" s="1"/>
  <c r="J70" i="2"/>
  <c r="K70" i="2" s="1"/>
  <c r="L70" i="2"/>
  <c r="M70" i="2" s="1"/>
  <c r="J71" i="2"/>
  <c r="K71" i="2" s="1"/>
  <c r="L71" i="2"/>
  <c r="M71" i="2" s="1"/>
  <c r="J72" i="2"/>
  <c r="K72" i="2" s="1"/>
  <c r="L72" i="2"/>
  <c r="M72" i="2" s="1"/>
  <c r="J73" i="2"/>
  <c r="K73" i="2" s="1"/>
  <c r="L73" i="2"/>
  <c r="M73" i="2" s="1"/>
  <c r="J74" i="2"/>
  <c r="K74" i="2" s="1"/>
  <c r="L74" i="2"/>
  <c r="M74" i="2" s="1"/>
  <c r="J75" i="2"/>
  <c r="K75" i="2" s="1"/>
  <c r="L75" i="2"/>
  <c r="M75" i="2" s="1"/>
  <c r="J76" i="2"/>
  <c r="K76" i="2" s="1"/>
  <c r="L76" i="2"/>
  <c r="M76" i="2" s="1"/>
  <c r="J77" i="2"/>
  <c r="K77" i="2" s="1"/>
  <c r="L77" i="2"/>
  <c r="M77" i="2" s="1"/>
  <c r="J78" i="2"/>
  <c r="K78" i="2" s="1"/>
  <c r="L78" i="2"/>
  <c r="M78" i="2" s="1"/>
  <c r="J79" i="2"/>
  <c r="K79" i="2" s="1"/>
  <c r="L79" i="2"/>
  <c r="M79" i="2" s="1"/>
  <c r="J80" i="2"/>
  <c r="K80" i="2" s="1"/>
  <c r="L80" i="2"/>
  <c r="M80" i="2" s="1"/>
  <c r="J81" i="2"/>
  <c r="K81" i="2" s="1"/>
  <c r="L81" i="2"/>
  <c r="M81" i="2" s="1"/>
  <c r="J82" i="2"/>
  <c r="K82" i="2" s="1"/>
  <c r="L82" i="2"/>
  <c r="M82" i="2" s="1"/>
  <c r="J83" i="2"/>
  <c r="K83" i="2" s="1"/>
  <c r="L83" i="2"/>
  <c r="M83" i="2" s="1"/>
  <c r="J84" i="2"/>
  <c r="K84" i="2" s="1"/>
  <c r="L84" i="2"/>
  <c r="M84" i="2" s="1"/>
  <c r="J85" i="2"/>
  <c r="K85" i="2" s="1"/>
  <c r="L85" i="2"/>
  <c r="M85" i="2" s="1"/>
  <c r="J86" i="2"/>
  <c r="K86" i="2" s="1"/>
  <c r="L86" i="2"/>
  <c r="M86" i="2" s="1"/>
  <c r="J87" i="2"/>
  <c r="K87" i="2" s="1"/>
  <c r="L87" i="2"/>
  <c r="M87" i="2" s="1"/>
  <c r="J88" i="2"/>
  <c r="K88" i="2" s="1"/>
  <c r="L88" i="2"/>
  <c r="M88" i="2" s="1"/>
  <c r="J89" i="2"/>
  <c r="K89" i="2" s="1"/>
  <c r="L89" i="2"/>
  <c r="M89" i="2" s="1"/>
  <c r="J90" i="2"/>
  <c r="K90" i="2" s="1"/>
  <c r="L90" i="2"/>
  <c r="M90" i="2" s="1"/>
  <c r="J91" i="2"/>
  <c r="K91" i="2" s="1"/>
  <c r="L91" i="2"/>
  <c r="M91" i="2" s="1"/>
  <c r="J92" i="2"/>
  <c r="K92" i="2" s="1"/>
  <c r="L92" i="2"/>
  <c r="M92" i="2" s="1"/>
  <c r="J7" i="2"/>
  <c r="K7" i="2" s="1"/>
  <c r="L7" i="2"/>
  <c r="M7" i="2" s="1"/>
  <c r="L9" i="2"/>
  <c r="M9" i="2" s="1"/>
  <c r="J9" i="2"/>
  <c r="K9" i="2" s="1"/>
  <c r="L10" i="2"/>
  <c r="M10" i="2" s="1"/>
  <c r="J10" i="2"/>
  <c r="K10" i="2" s="1"/>
  <c r="L12" i="2"/>
  <c r="M12" i="2" s="1"/>
  <c r="J12" i="2"/>
  <c r="K12" i="2" s="1"/>
  <c r="L13" i="2"/>
  <c r="M13" i="2" s="1"/>
  <c r="J13" i="2"/>
  <c r="K13" i="2" s="1"/>
  <c r="L14" i="2"/>
  <c r="M14" i="2" s="1"/>
  <c r="J14" i="2"/>
  <c r="K14" i="2" s="1"/>
  <c r="L15" i="2"/>
  <c r="M15" i="2" s="1"/>
  <c r="J15" i="2"/>
  <c r="K15" i="2" s="1"/>
  <c r="L16" i="2"/>
  <c r="M16" i="2" s="1"/>
  <c r="J16" i="2"/>
  <c r="K16" i="2" s="1"/>
  <c r="L17" i="2"/>
  <c r="M17" i="2" s="1"/>
  <c r="J17" i="2"/>
  <c r="K17" i="2" s="1"/>
  <c r="L18" i="2"/>
  <c r="M18" i="2" s="1"/>
  <c r="J18" i="2"/>
  <c r="K18" i="2" s="1"/>
  <c r="J19" i="2"/>
  <c r="K19" i="2" s="1"/>
  <c r="L19" i="2"/>
  <c r="M19" i="2" s="1"/>
  <c r="L20" i="2"/>
  <c r="M20" i="2" s="1"/>
  <c r="J20" i="2"/>
  <c r="K20" i="2" s="1"/>
  <c r="L21" i="2"/>
  <c r="M21" i="2" s="1"/>
  <c r="J21" i="2"/>
  <c r="K21" i="2" s="1"/>
  <c r="L22" i="2"/>
  <c r="M22" i="2" s="1"/>
  <c r="J22" i="2"/>
  <c r="K22" i="2" s="1"/>
  <c r="J23" i="2"/>
  <c r="K23" i="2" s="1"/>
  <c r="L23" i="2"/>
  <c r="M23" i="2" s="1"/>
  <c r="L29" i="2"/>
  <c r="M29" i="2" s="1"/>
  <c r="J29" i="2"/>
  <c r="K29" i="2" s="1"/>
  <c r="J30" i="2"/>
  <c r="K30" i="2" s="1"/>
  <c r="L30" i="2"/>
  <c r="M30" i="2" s="1"/>
  <c r="J31" i="2"/>
  <c r="K31" i="2" s="1"/>
  <c r="L31" i="2"/>
  <c r="M31" i="2" s="1"/>
  <c r="J32" i="2"/>
  <c r="K32" i="2" s="1"/>
  <c r="L32" i="2"/>
  <c r="M32" i="2" s="1"/>
  <c r="J33" i="2"/>
  <c r="K33" i="2" s="1"/>
  <c r="L33" i="2"/>
  <c r="M33" i="2" s="1"/>
  <c r="J34" i="2"/>
  <c r="K34" i="2" s="1"/>
  <c r="L34" i="2"/>
  <c r="M34" i="2" s="1"/>
  <c r="J35" i="2"/>
  <c r="K35" i="2" s="1"/>
  <c r="L35" i="2"/>
  <c r="M35" i="2" s="1"/>
  <c r="J36" i="2"/>
  <c r="K36" i="2" s="1"/>
  <c r="L36" i="2"/>
  <c r="M36" i="2" s="1"/>
  <c r="J37" i="2"/>
  <c r="K37" i="2" s="1"/>
  <c r="L37" i="2"/>
  <c r="M37" i="2" s="1"/>
  <c r="J38" i="2"/>
  <c r="K38" i="2" s="1"/>
  <c r="L38" i="2"/>
  <c r="M38" i="2" s="1"/>
  <c r="J39" i="2"/>
  <c r="K39" i="2" s="1"/>
  <c r="L39" i="2"/>
  <c r="M39" i="2" s="1"/>
  <c r="J40" i="2"/>
  <c r="K40" i="2" s="1"/>
  <c r="L40" i="2"/>
  <c r="M40" i="2" s="1"/>
  <c r="I6" i="2"/>
  <c r="G3" i="2"/>
  <c r="L6" i="2" l="1"/>
  <c r="M6" i="2" s="1"/>
  <c r="J6" i="2"/>
  <c r="K6" i="2" s="1"/>
  <c r="K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CBE36-B283-4922-8BDC-188B5D8ED6A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<sst xmlns="http://schemas.openxmlformats.org/spreadsheetml/2006/main" count="21" uniqueCount="21">
  <si>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patientID</t>
  </si>
  <si>
    <t>5-year survival</t>
  </si>
  <si>
    <t>gene1</t>
  </si>
  <si>
    <t>gene2</t>
  </si>
  <si>
    <t>gene3</t>
  </si>
  <si>
    <t>gene4</t>
  </si>
  <si>
    <t>gene5</t>
  </si>
  <si>
    <t>m1</t>
  </si>
  <si>
    <t>m2</t>
  </si>
  <si>
    <t>m3</t>
  </si>
  <si>
    <t>m4</t>
  </si>
  <si>
    <t>m5</t>
  </si>
  <si>
    <t>b</t>
  </si>
  <si>
    <t>m1x1+m2x2+…+b</t>
  </si>
  <si>
    <t>P(1)</t>
  </si>
  <si>
    <t>Outcome</t>
  </si>
  <si>
    <t>Difference</t>
  </si>
  <si>
    <t>total Diff=</t>
  </si>
  <si>
    <t>Likelihood</t>
  </si>
  <si>
    <t>Ln(Likelihood)</t>
  </si>
  <si>
    <t>To-Minimize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</si>
</sst>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134FF-F2E8-4598-99E1-B1FA8EE66866}">
  <dimension ref="A1:M92"/>
  <sheetViews>
    <sheetView tabSelected="1" workbookViewId="0">
      <selection activeCell="M1" sqref="M1"/>
    </sheetView>
  </sheetViews>
  <sheetFormatPr defaultRowHeight="14.4" x14ac:dyDescent="0.3"/>
  <cols>
    <col min="7" max="7" width="14" bestFit="1" customWidth="1"/>
    <col min="8" max="8" width="15.77734375" bestFit="1" customWidth="1"/>
    <col min="9" max="9" width="12.6640625" bestFit="1" customWidth="1"/>
    <col min="10" max="10" width="9.33203125" bestFit="1" customWidth="1"/>
    <col min="11" max="11" width="9.6640625" bestFit="1" customWidth="1"/>
    <col min="12" max="12" width="12" bestFit="1" customWidth="1"/>
    <col min="13" max="13" width="13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20</v>
      </c>
      <c r="M1">
        <f>SUM(M6:M92)</f>
        <v>-61000000</v>
      </c>
    </row>
    <row r="2" spans="1:13" x14ac:dyDescent="0.3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J2" t="s">
        <v>17</v>
      </c>
      <c r="K2">
        <f>SUM(K6:K92)</f>
        <v>61</v>
      </c>
    </row>
    <row r="3" spans="1:13" x14ac:dyDescent="0.3">
      <c r="B3" cm="1">
        <f t="array" ref="B3">INDEX(LINEST($G$6:$G$92,$B$6:$F$92),1,B1)</f>
        <v>-3.1646397523048817E-4</v>
      </c>
      <c r="C3" cm="1">
        <f t="array" ref="C3">INDEX(LINEST($G$6:$G$92,$B$6:$F$92),1,C1)</f>
        <v>3.0100064130601915E-3</v>
      </c>
      <c r="D3" cm="1">
        <f t="array" ref="D3">INDEX(LINEST($G$6:$G$92,$B$6:$F$92),1,D1)</f>
        <v>-5.1330433103881426E-3</v>
      </c>
      <c r="E3" cm="1">
        <f t="array" ref="E3">INDEX(LINEST($G$6:$G$92,$B$6:$F$92),1,E1)</f>
        <v>-5.1011808354464684E-4</v>
      </c>
      <c r="F3" cm="1">
        <f t="array" ref="F3">INDEX(LINEST($G$6:$G$92,$B$6:$F$92),1,F1)</f>
        <v>-7.4155185513976826E-4</v>
      </c>
      <c r="G3" cm="1">
        <f t="array" ref="G3">INDEX(LINEST($G$6:$G$92,$B$6:$F$92),1,G1)</f>
        <v>0.5355740251747082</v>
      </c>
    </row>
    <row r="4" spans="1:13" x14ac:dyDescent="0.3">
      <c r="B4">
        <v>836384.95833114476</v>
      </c>
      <c r="C4">
        <v>31484.936931600208</v>
      </c>
      <c r="D4">
        <v>3468970.6685814438</v>
      </c>
      <c r="E4">
        <v>576115.05945919454</v>
      </c>
      <c r="F4">
        <v>831.47169341586539</v>
      </c>
      <c r="G4">
        <v>190444518.75068474</v>
      </c>
    </row>
    <row r="5" spans="1:13" x14ac:dyDescent="0.3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18</v>
      </c>
      <c r="M5" s="1" t="s">
        <v>19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$G$4+SUMPRODUCT($B$4:$F$4,B6:F6)</f>
        <v>1505354345.4989493</v>
      </c>
      <c r="I6">
        <f>1/(1+EXP(0-H6))</f>
        <v>1</v>
      </c>
      <c r="J6">
        <f>IF(I6&lt;=0.5,0,1)</f>
        <v>1</v>
      </c>
      <c r="K6">
        <f>IF(G6=J6,0,1)</f>
        <v>1</v>
      </c>
      <c r="L6">
        <f>IF(G6=1,I6,1-I6)</f>
        <v>0</v>
      </c>
      <c r="M6">
        <f>IF(L6=0,-1000000,LN(L6))</f>
        <v>-1000000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0">$G$4+SUMPRODUCT($B$4:$F$4,B7:F7)</f>
        <v>455596860.99431282</v>
      </c>
      <c r="I7">
        <f t="shared" ref="I7:I70" si="1">1/(1+EXP(0-H7))</f>
        <v>1</v>
      </c>
      <c r="J7">
        <f t="shared" ref="J7:J70" si="2">IF(I7&lt;=0.5,0,1)</f>
        <v>1</v>
      </c>
      <c r="K7">
        <f>IF(G7=J7,0,1)</f>
        <v>1</v>
      </c>
      <c r="L7">
        <f t="shared" ref="L7:L70" si="3">IF(G7=1,I7,1-I7)</f>
        <v>0</v>
      </c>
      <c r="M7">
        <f t="shared" ref="M7:M70" si="4">IF(L7=0,-1000000,LN(L7))</f>
        <v>-1000000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0"/>
        <v>342126286.74874294</v>
      </c>
      <c r="I8">
        <f t="shared" si="1"/>
        <v>1</v>
      </c>
      <c r="J8">
        <f t="shared" si="2"/>
        <v>1</v>
      </c>
      <c r="K8">
        <f t="shared" ref="K7:K70" si="5">IF(G8=J8,0,1)</f>
        <v>0</v>
      </c>
      <c r="L8">
        <f t="shared" si="3"/>
        <v>1</v>
      </c>
      <c r="M8">
        <f t="shared" si="4"/>
        <v>0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0"/>
        <v>258249241.47110224</v>
      </c>
      <c r="I9">
        <f t="shared" si="1"/>
        <v>1</v>
      </c>
      <c r="J9">
        <f t="shared" si="2"/>
        <v>1</v>
      </c>
      <c r="K9">
        <f t="shared" si="5"/>
        <v>0</v>
      </c>
      <c r="L9">
        <f t="shared" si="3"/>
        <v>1</v>
      </c>
      <c r="M9">
        <f t="shared" si="4"/>
        <v>0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0"/>
        <v>554192324.06093931</v>
      </c>
      <c r="I10">
        <f t="shared" si="1"/>
        <v>1</v>
      </c>
      <c r="J10">
        <f t="shared" si="2"/>
        <v>1</v>
      </c>
      <c r="K10">
        <f t="shared" si="5"/>
        <v>1</v>
      </c>
      <c r="L10">
        <f t="shared" si="3"/>
        <v>0</v>
      </c>
      <c r="M10">
        <f t="shared" si="4"/>
        <v>-1000000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0"/>
        <v>633928948.70970786</v>
      </c>
      <c r="I11">
        <f t="shared" si="1"/>
        <v>1</v>
      </c>
      <c r="J11">
        <f t="shared" si="2"/>
        <v>1</v>
      </c>
      <c r="K11">
        <f t="shared" si="5"/>
        <v>1</v>
      </c>
      <c r="L11">
        <f t="shared" si="3"/>
        <v>0</v>
      </c>
      <c r="M11">
        <f t="shared" si="4"/>
        <v>-1000000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0"/>
        <v>316109552.61833441</v>
      </c>
      <c r="I12">
        <f t="shared" si="1"/>
        <v>1</v>
      </c>
      <c r="J12">
        <f t="shared" si="2"/>
        <v>1</v>
      </c>
      <c r="K12">
        <f t="shared" si="5"/>
        <v>1</v>
      </c>
      <c r="L12">
        <f t="shared" si="3"/>
        <v>0</v>
      </c>
      <c r="M12">
        <f t="shared" si="4"/>
        <v>-1000000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0"/>
        <v>328115036.54088122</v>
      </c>
      <c r="I13">
        <f t="shared" si="1"/>
        <v>1</v>
      </c>
      <c r="J13">
        <f t="shared" si="2"/>
        <v>1</v>
      </c>
      <c r="K13">
        <f t="shared" si="5"/>
        <v>0</v>
      </c>
      <c r="L13">
        <f t="shared" si="3"/>
        <v>1</v>
      </c>
      <c r="M13">
        <f t="shared" si="4"/>
        <v>0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0"/>
        <v>439830811.36367017</v>
      </c>
      <c r="I14">
        <f t="shared" si="1"/>
        <v>1</v>
      </c>
      <c r="J14">
        <f t="shared" si="2"/>
        <v>1</v>
      </c>
      <c r="K14">
        <f t="shared" si="5"/>
        <v>1</v>
      </c>
      <c r="L14">
        <f t="shared" si="3"/>
        <v>0</v>
      </c>
      <c r="M14">
        <f t="shared" si="4"/>
        <v>-1000000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0"/>
        <v>1533509464.6590772</v>
      </c>
      <c r="I15">
        <f t="shared" si="1"/>
        <v>1</v>
      </c>
      <c r="J15">
        <f t="shared" si="2"/>
        <v>1</v>
      </c>
      <c r="K15">
        <f t="shared" si="5"/>
        <v>1</v>
      </c>
      <c r="L15">
        <f t="shared" si="3"/>
        <v>0</v>
      </c>
      <c r="M15">
        <f t="shared" si="4"/>
        <v>-1000000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0"/>
        <v>540611800.68119431</v>
      </c>
      <c r="I16">
        <f t="shared" si="1"/>
        <v>1</v>
      </c>
      <c r="J16">
        <f t="shared" si="2"/>
        <v>1</v>
      </c>
      <c r="K16">
        <f t="shared" si="5"/>
        <v>1</v>
      </c>
      <c r="L16">
        <f t="shared" si="3"/>
        <v>0</v>
      </c>
      <c r="M16">
        <f t="shared" si="4"/>
        <v>-1000000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0"/>
        <v>292081479.54515713</v>
      </c>
      <c r="I17">
        <f t="shared" si="1"/>
        <v>1</v>
      </c>
      <c r="J17">
        <f t="shared" si="2"/>
        <v>1</v>
      </c>
      <c r="K17">
        <f t="shared" si="5"/>
        <v>0</v>
      </c>
      <c r="L17">
        <f t="shared" si="3"/>
        <v>1</v>
      </c>
      <c r="M17">
        <f t="shared" si="4"/>
        <v>0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0"/>
        <v>284490218.76736051</v>
      </c>
      <c r="I18">
        <f t="shared" si="1"/>
        <v>1</v>
      </c>
      <c r="J18">
        <f t="shared" si="2"/>
        <v>1</v>
      </c>
      <c r="K18">
        <f t="shared" si="5"/>
        <v>0</v>
      </c>
      <c r="L18">
        <f t="shared" si="3"/>
        <v>1</v>
      </c>
      <c r="M18">
        <f t="shared" si="4"/>
        <v>0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0"/>
        <v>420089886.0796231</v>
      </c>
      <c r="I19">
        <f t="shared" si="1"/>
        <v>1</v>
      </c>
      <c r="J19">
        <f t="shared" si="2"/>
        <v>1</v>
      </c>
      <c r="K19">
        <f t="shared" si="5"/>
        <v>1</v>
      </c>
      <c r="L19">
        <f t="shared" si="3"/>
        <v>0</v>
      </c>
      <c r="M19">
        <f t="shared" si="4"/>
        <v>-1000000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0"/>
        <v>1860060566.2371933</v>
      </c>
      <c r="I20">
        <f t="shared" si="1"/>
        <v>1</v>
      </c>
      <c r="J20">
        <f t="shared" si="2"/>
        <v>1</v>
      </c>
      <c r="K20">
        <f t="shared" si="5"/>
        <v>1</v>
      </c>
      <c r="L20">
        <f t="shared" si="3"/>
        <v>0</v>
      </c>
      <c r="M20">
        <f t="shared" si="4"/>
        <v>-1000000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0"/>
        <v>929112406.5891695</v>
      </c>
      <c r="I21">
        <f t="shared" si="1"/>
        <v>1</v>
      </c>
      <c r="J21">
        <f t="shared" si="2"/>
        <v>1</v>
      </c>
      <c r="K21">
        <f t="shared" si="5"/>
        <v>1</v>
      </c>
      <c r="L21">
        <f t="shared" si="3"/>
        <v>0</v>
      </c>
      <c r="M21">
        <f t="shared" si="4"/>
        <v>-1000000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0"/>
        <v>563680108.47682142</v>
      </c>
      <c r="I22">
        <f t="shared" si="1"/>
        <v>1</v>
      </c>
      <c r="J22">
        <f t="shared" si="2"/>
        <v>1</v>
      </c>
      <c r="K22">
        <f t="shared" si="5"/>
        <v>1</v>
      </c>
      <c r="L22">
        <f t="shared" si="3"/>
        <v>0</v>
      </c>
      <c r="M22">
        <f t="shared" si="4"/>
        <v>-1000000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0"/>
        <v>657380508.04884458</v>
      </c>
      <c r="I23">
        <f t="shared" si="1"/>
        <v>1</v>
      </c>
      <c r="J23">
        <f t="shared" si="2"/>
        <v>1</v>
      </c>
      <c r="K23">
        <f t="shared" si="5"/>
        <v>1</v>
      </c>
      <c r="L23">
        <f t="shared" si="3"/>
        <v>0</v>
      </c>
      <c r="M23">
        <f t="shared" si="4"/>
        <v>-1000000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0"/>
        <v>286972016.53978175</v>
      </c>
      <c r="I24">
        <f t="shared" si="1"/>
        <v>1</v>
      </c>
      <c r="J24">
        <f t="shared" si="2"/>
        <v>1</v>
      </c>
      <c r="K24">
        <f t="shared" si="5"/>
        <v>0</v>
      </c>
      <c r="L24">
        <f t="shared" si="3"/>
        <v>1</v>
      </c>
      <c r="M24">
        <f t="shared" si="4"/>
        <v>0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0"/>
        <v>513910434.62884569</v>
      </c>
      <c r="I25">
        <f t="shared" si="1"/>
        <v>1</v>
      </c>
      <c r="J25">
        <f t="shared" si="2"/>
        <v>1</v>
      </c>
      <c r="K25">
        <f t="shared" si="5"/>
        <v>1</v>
      </c>
      <c r="L25">
        <f t="shared" si="3"/>
        <v>0</v>
      </c>
      <c r="M25">
        <f t="shared" si="4"/>
        <v>-1000000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0"/>
        <v>465092612.23859465</v>
      </c>
      <c r="I26">
        <f t="shared" si="1"/>
        <v>1</v>
      </c>
      <c r="J26">
        <f t="shared" si="2"/>
        <v>1</v>
      </c>
      <c r="K26">
        <f t="shared" si="5"/>
        <v>1</v>
      </c>
      <c r="L26">
        <f t="shared" si="3"/>
        <v>0</v>
      </c>
      <c r="M26">
        <f t="shared" si="4"/>
        <v>-1000000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0"/>
        <v>525116735.47272664</v>
      </c>
      <c r="I27">
        <f t="shared" si="1"/>
        <v>1</v>
      </c>
      <c r="J27">
        <f t="shared" si="2"/>
        <v>1</v>
      </c>
      <c r="K27">
        <f t="shared" si="5"/>
        <v>1</v>
      </c>
      <c r="L27">
        <f t="shared" si="3"/>
        <v>0</v>
      </c>
      <c r="M27">
        <f t="shared" si="4"/>
        <v>-1000000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0"/>
        <v>316042448.06137735</v>
      </c>
      <c r="I28">
        <f t="shared" si="1"/>
        <v>1</v>
      </c>
      <c r="J28">
        <f t="shared" si="2"/>
        <v>1</v>
      </c>
      <c r="K28">
        <f t="shared" si="5"/>
        <v>1</v>
      </c>
      <c r="L28">
        <f t="shared" si="3"/>
        <v>0</v>
      </c>
      <c r="M28">
        <f t="shared" si="4"/>
        <v>-1000000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0"/>
        <v>430395780.62086487</v>
      </c>
      <c r="I29">
        <f t="shared" si="1"/>
        <v>1</v>
      </c>
      <c r="J29">
        <f t="shared" si="2"/>
        <v>1</v>
      </c>
      <c r="K29">
        <f t="shared" si="5"/>
        <v>1</v>
      </c>
      <c r="L29">
        <f t="shared" si="3"/>
        <v>0</v>
      </c>
      <c r="M29">
        <f t="shared" si="4"/>
        <v>-1000000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0"/>
        <v>568667795.45499265</v>
      </c>
      <c r="I30">
        <f t="shared" si="1"/>
        <v>1</v>
      </c>
      <c r="J30">
        <f t="shared" si="2"/>
        <v>1</v>
      </c>
      <c r="K30">
        <f t="shared" si="5"/>
        <v>1</v>
      </c>
      <c r="L30">
        <f t="shared" si="3"/>
        <v>0</v>
      </c>
      <c r="M30">
        <f t="shared" si="4"/>
        <v>-1000000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0"/>
        <v>418581392.30371571</v>
      </c>
      <c r="I31">
        <f t="shared" si="1"/>
        <v>1</v>
      </c>
      <c r="J31">
        <f t="shared" si="2"/>
        <v>1</v>
      </c>
      <c r="K31">
        <f t="shared" si="5"/>
        <v>1</v>
      </c>
      <c r="L31">
        <f t="shared" si="3"/>
        <v>0</v>
      </c>
      <c r="M31">
        <f t="shared" si="4"/>
        <v>-1000000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0"/>
        <v>1133262397.7687006</v>
      </c>
      <c r="I32">
        <f t="shared" si="1"/>
        <v>1</v>
      </c>
      <c r="J32">
        <f t="shared" si="2"/>
        <v>1</v>
      </c>
      <c r="K32">
        <f t="shared" si="5"/>
        <v>1</v>
      </c>
      <c r="L32">
        <f t="shared" si="3"/>
        <v>0</v>
      </c>
      <c r="M32">
        <f t="shared" si="4"/>
        <v>-1000000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0"/>
        <v>306279277.65612388</v>
      </c>
      <c r="I33">
        <f t="shared" si="1"/>
        <v>1</v>
      </c>
      <c r="J33">
        <f t="shared" si="2"/>
        <v>1</v>
      </c>
      <c r="K33">
        <f t="shared" si="5"/>
        <v>0</v>
      </c>
      <c r="L33">
        <f t="shared" si="3"/>
        <v>1</v>
      </c>
      <c r="M33">
        <f t="shared" si="4"/>
        <v>0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0"/>
        <v>447609150.77032661</v>
      </c>
      <c r="I34">
        <f t="shared" si="1"/>
        <v>1</v>
      </c>
      <c r="J34">
        <f t="shared" si="2"/>
        <v>1</v>
      </c>
      <c r="K34">
        <f t="shared" si="5"/>
        <v>0</v>
      </c>
      <c r="L34">
        <f t="shared" si="3"/>
        <v>1</v>
      </c>
      <c r="M34">
        <f t="shared" si="4"/>
        <v>0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0"/>
        <v>485674974.82298428</v>
      </c>
      <c r="I35">
        <f t="shared" si="1"/>
        <v>1</v>
      </c>
      <c r="J35">
        <f t="shared" si="2"/>
        <v>1</v>
      </c>
      <c r="K35">
        <f t="shared" si="5"/>
        <v>1</v>
      </c>
      <c r="L35">
        <f t="shared" si="3"/>
        <v>0</v>
      </c>
      <c r="M35">
        <f t="shared" si="4"/>
        <v>-1000000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0"/>
        <v>850323024.49613893</v>
      </c>
      <c r="I36">
        <f t="shared" si="1"/>
        <v>1</v>
      </c>
      <c r="J36">
        <f t="shared" si="2"/>
        <v>1</v>
      </c>
      <c r="K36">
        <f t="shared" si="5"/>
        <v>1</v>
      </c>
      <c r="L36">
        <f t="shared" si="3"/>
        <v>0</v>
      </c>
      <c r="M36">
        <f t="shared" si="4"/>
        <v>-1000000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0"/>
        <v>529548320.59252918</v>
      </c>
      <c r="I37">
        <f t="shared" si="1"/>
        <v>1</v>
      </c>
      <c r="J37">
        <f t="shared" si="2"/>
        <v>1</v>
      </c>
      <c r="K37">
        <f t="shared" si="5"/>
        <v>1</v>
      </c>
      <c r="L37">
        <f t="shared" si="3"/>
        <v>0</v>
      </c>
      <c r="M37">
        <f t="shared" si="4"/>
        <v>-1000000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0"/>
        <v>279423438.81539619</v>
      </c>
      <c r="I38">
        <f t="shared" si="1"/>
        <v>1</v>
      </c>
      <c r="J38">
        <f t="shared" si="2"/>
        <v>1</v>
      </c>
      <c r="K38">
        <f t="shared" si="5"/>
        <v>0</v>
      </c>
      <c r="L38">
        <f t="shared" si="3"/>
        <v>1</v>
      </c>
      <c r="M38">
        <f t="shared" si="4"/>
        <v>0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0"/>
        <v>358296803.54605627</v>
      </c>
      <c r="I39">
        <f t="shared" si="1"/>
        <v>1</v>
      </c>
      <c r="J39">
        <f t="shared" si="2"/>
        <v>1</v>
      </c>
      <c r="K39">
        <f t="shared" si="5"/>
        <v>1</v>
      </c>
      <c r="L39">
        <f t="shared" si="3"/>
        <v>0</v>
      </c>
      <c r="M39">
        <f t="shared" si="4"/>
        <v>-1000000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0"/>
        <v>415338807.14565402</v>
      </c>
      <c r="I40">
        <f t="shared" si="1"/>
        <v>1</v>
      </c>
      <c r="J40">
        <f t="shared" si="2"/>
        <v>1</v>
      </c>
      <c r="K40">
        <f t="shared" si="5"/>
        <v>1</v>
      </c>
      <c r="L40">
        <f t="shared" si="3"/>
        <v>0</v>
      </c>
      <c r="M40">
        <f t="shared" si="4"/>
        <v>-1000000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0"/>
        <v>366205846.40422416</v>
      </c>
      <c r="I41">
        <f t="shared" si="1"/>
        <v>1</v>
      </c>
      <c r="J41">
        <f t="shared" si="2"/>
        <v>1</v>
      </c>
      <c r="K41">
        <f t="shared" si="5"/>
        <v>1</v>
      </c>
      <c r="L41">
        <f t="shared" si="3"/>
        <v>0</v>
      </c>
      <c r="M41">
        <f t="shared" si="4"/>
        <v>-1000000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0"/>
        <v>848505088.32115674</v>
      </c>
      <c r="I42">
        <f t="shared" si="1"/>
        <v>1</v>
      </c>
      <c r="J42">
        <f t="shared" si="2"/>
        <v>1</v>
      </c>
      <c r="K42">
        <f t="shared" si="5"/>
        <v>1</v>
      </c>
      <c r="L42">
        <f t="shared" si="3"/>
        <v>0</v>
      </c>
      <c r="M42">
        <f t="shared" si="4"/>
        <v>-1000000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0"/>
        <v>359353030.4843297</v>
      </c>
      <c r="I43">
        <f t="shared" si="1"/>
        <v>1</v>
      </c>
      <c r="J43">
        <f t="shared" si="2"/>
        <v>1</v>
      </c>
      <c r="K43">
        <f t="shared" si="5"/>
        <v>1</v>
      </c>
      <c r="L43">
        <f t="shared" si="3"/>
        <v>0</v>
      </c>
      <c r="M43">
        <f t="shared" si="4"/>
        <v>-1000000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0"/>
        <v>668806096.32844162</v>
      </c>
      <c r="I44">
        <f t="shared" si="1"/>
        <v>1</v>
      </c>
      <c r="J44">
        <f t="shared" si="2"/>
        <v>1</v>
      </c>
      <c r="K44">
        <f t="shared" si="5"/>
        <v>1</v>
      </c>
      <c r="L44">
        <f t="shared" si="3"/>
        <v>0</v>
      </c>
      <c r="M44">
        <f t="shared" si="4"/>
        <v>-1000000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0"/>
        <v>1020122503.1903565</v>
      </c>
      <c r="I45">
        <f t="shared" si="1"/>
        <v>1</v>
      </c>
      <c r="J45">
        <f t="shared" si="2"/>
        <v>1</v>
      </c>
      <c r="K45">
        <f t="shared" si="5"/>
        <v>1</v>
      </c>
      <c r="L45">
        <f t="shared" si="3"/>
        <v>0</v>
      </c>
      <c r="M45">
        <f t="shared" si="4"/>
        <v>-1000000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0"/>
        <v>419261633.07586563</v>
      </c>
      <c r="I46">
        <f t="shared" si="1"/>
        <v>1</v>
      </c>
      <c r="J46">
        <f t="shared" si="2"/>
        <v>1</v>
      </c>
      <c r="K46">
        <f t="shared" si="5"/>
        <v>1</v>
      </c>
      <c r="L46">
        <f t="shared" si="3"/>
        <v>0</v>
      </c>
      <c r="M46">
        <f t="shared" si="4"/>
        <v>-1000000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0"/>
        <v>640536314.59738588</v>
      </c>
      <c r="I47">
        <f t="shared" si="1"/>
        <v>1</v>
      </c>
      <c r="J47">
        <f t="shared" si="2"/>
        <v>1</v>
      </c>
      <c r="K47">
        <f t="shared" si="5"/>
        <v>1</v>
      </c>
      <c r="L47">
        <f t="shared" si="3"/>
        <v>0</v>
      </c>
      <c r="M47">
        <f t="shared" si="4"/>
        <v>-1000000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0"/>
        <v>288004496.00671089</v>
      </c>
      <c r="I48">
        <f t="shared" si="1"/>
        <v>1</v>
      </c>
      <c r="J48">
        <f t="shared" si="2"/>
        <v>1</v>
      </c>
      <c r="K48">
        <f t="shared" si="5"/>
        <v>0</v>
      </c>
      <c r="L48">
        <f t="shared" si="3"/>
        <v>1</v>
      </c>
      <c r="M48">
        <f t="shared" si="4"/>
        <v>0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0"/>
        <v>302101747.28522873</v>
      </c>
      <c r="I49">
        <f t="shared" si="1"/>
        <v>1</v>
      </c>
      <c r="J49">
        <f t="shared" si="2"/>
        <v>1</v>
      </c>
      <c r="K49">
        <f t="shared" si="5"/>
        <v>0</v>
      </c>
      <c r="L49">
        <f t="shared" si="3"/>
        <v>1</v>
      </c>
      <c r="M49">
        <f t="shared" si="4"/>
        <v>0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0"/>
        <v>983724570.28530753</v>
      </c>
      <c r="I50">
        <f t="shared" si="1"/>
        <v>1</v>
      </c>
      <c r="J50">
        <f t="shared" si="2"/>
        <v>1</v>
      </c>
      <c r="K50">
        <f t="shared" si="5"/>
        <v>1</v>
      </c>
      <c r="L50">
        <f t="shared" si="3"/>
        <v>0</v>
      </c>
      <c r="M50">
        <f t="shared" si="4"/>
        <v>-1000000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0"/>
        <v>354889595.56770903</v>
      </c>
      <c r="I51">
        <f t="shared" si="1"/>
        <v>1</v>
      </c>
      <c r="J51">
        <f t="shared" si="2"/>
        <v>1</v>
      </c>
      <c r="K51">
        <f t="shared" si="5"/>
        <v>0</v>
      </c>
      <c r="L51">
        <f t="shared" si="3"/>
        <v>1</v>
      </c>
      <c r="M51">
        <f t="shared" si="4"/>
        <v>0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0"/>
        <v>361255777.30864453</v>
      </c>
      <c r="I52">
        <f t="shared" si="1"/>
        <v>1</v>
      </c>
      <c r="J52">
        <f t="shared" si="2"/>
        <v>1</v>
      </c>
      <c r="K52">
        <f t="shared" si="5"/>
        <v>1</v>
      </c>
      <c r="L52">
        <f t="shared" si="3"/>
        <v>0</v>
      </c>
      <c r="M52">
        <f t="shared" si="4"/>
        <v>-1000000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0"/>
        <v>724240145.82913995</v>
      </c>
      <c r="I53">
        <f t="shared" si="1"/>
        <v>1</v>
      </c>
      <c r="J53">
        <f t="shared" si="2"/>
        <v>1</v>
      </c>
      <c r="K53">
        <f t="shared" si="5"/>
        <v>1</v>
      </c>
      <c r="L53">
        <f t="shared" si="3"/>
        <v>0</v>
      </c>
      <c r="M53">
        <f t="shared" si="4"/>
        <v>-1000000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0"/>
        <v>590292099.08619952</v>
      </c>
      <c r="I54">
        <f t="shared" si="1"/>
        <v>1</v>
      </c>
      <c r="J54">
        <f t="shared" si="2"/>
        <v>1</v>
      </c>
      <c r="K54">
        <f t="shared" si="5"/>
        <v>1</v>
      </c>
      <c r="L54">
        <f t="shared" si="3"/>
        <v>0</v>
      </c>
      <c r="M54">
        <f t="shared" si="4"/>
        <v>-1000000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0"/>
        <v>379722167.43972754</v>
      </c>
      <c r="I55">
        <f t="shared" si="1"/>
        <v>1</v>
      </c>
      <c r="J55">
        <f t="shared" si="2"/>
        <v>1</v>
      </c>
      <c r="K55">
        <f t="shared" si="5"/>
        <v>1</v>
      </c>
      <c r="L55">
        <f t="shared" si="3"/>
        <v>0</v>
      </c>
      <c r="M55">
        <f t="shared" si="4"/>
        <v>-1000000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0"/>
        <v>363568583.73116291</v>
      </c>
      <c r="I56">
        <f t="shared" si="1"/>
        <v>1</v>
      </c>
      <c r="J56">
        <f t="shared" si="2"/>
        <v>1</v>
      </c>
      <c r="K56">
        <f t="shared" si="5"/>
        <v>1</v>
      </c>
      <c r="L56">
        <f t="shared" si="3"/>
        <v>0</v>
      </c>
      <c r="M56">
        <f t="shared" si="4"/>
        <v>-1000000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0"/>
        <v>348927466.63717461</v>
      </c>
      <c r="I57">
        <f t="shared" si="1"/>
        <v>1</v>
      </c>
      <c r="J57">
        <f t="shared" si="2"/>
        <v>1</v>
      </c>
      <c r="K57">
        <f t="shared" si="5"/>
        <v>1</v>
      </c>
      <c r="L57">
        <f t="shared" si="3"/>
        <v>0</v>
      </c>
      <c r="M57">
        <f t="shared" si="4"/>
        <v>-1000000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0"/>
        <v>312606674.9041726</v>
      </c>
      <c r="I58">
        <f t="shared" si="1"/>
        <v>1</v>
      </c>
      <c r="J58">
        <f t="shared" si="2"/>
        <v>1</v>
      </c>
      <c r="K58">
        <f t="shared" si="5"/>
        <v>0</v>
      </c>
      <c r="L58">
        <f t="shared" si="3"/>
        <v>1</v>
      </c>
      <c r="M58">
        <f t="shared" si="4"/>
        <v>0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0"/>
        <v>316767649.51078212</v>
      </c>
      <c r="I59">
        <f t="shared" si="1"/>
        <v>1</v>
      </c>
      <c r="J59">
        <f t="shared" si="2"/>
        <v>1</v>
      </c>
      <c r="K59">
        <f t="shared" si="5"/>
        <v>0</v>
      </c>
      <c r="L59">
        <f t="shared" si="3"/>
        <v>1</v>
      </c>
      <c r="M59">
        <f t="shared" si="4"/>
        <v>0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0"/>
        <v>489986852.78172058</v>
      </c>
      <c r="I60">
        <f t="shared" si="1"/>
        <v>1</v>
      </c>
      <c r="J60">
        <f t="shared" si="2"/>
        <v>1</v>
      </c>
      <c r="K60">
        <f t="shared" si="5"/>
        <v>1</v>
      </c>
      <c r="L60">
        <f t="shared" si="3"/>
        <v>0</v>
      </c>
      <c r="M60">
        <f t="shared" si="4"/>
        <v>-1000000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0"/>
        <v>352121911.74036074</v>
      </c>
      <c r="I61">
        <f t="shared" si="1"/>
        <v>1</v>
      </c>
      <c r="J61">
        <f t="shared" si="2"/>
        <v>1</v>
      </c>
      <c r="K61">
        <f t="shared" si="5"/>
        <v>1</v>
      </c>
      <c r="L61">
        <f t="shared" si="3"/>
        <v>0</v>
      </c>
      <c r="M61">
        <f t="shared" si="4"/>
        <v>-1000000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0"/>
        <v>322368748.61190104</v>
      </c>
      <c r="I62">
        <f t="shared" si="1"/>
        <v>1</v>
      </c>
      <c r="J62">
        <f t="shared" si="2"/>
        <v>1</v>
      </c>
      <c r="K62">
        <f t="shared" si="5"/>
        <v>0</v>
      </c>
      <c r="L62">
        <f t="shared" si="3"/>
        <v>1</v>
      </c>
      <c r="M62">
        <f t="shared" si="4"/>
        <v>0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0"/>
        <v>277608213.40440756</v>
      </c>
      <c r="I63">
        <f t="shared" si="1"/>
        <v>1</v>
      </c>
      <c r="J63">
        <f t="shared" si="2"/>
        <v>1</v>
      </c>
      <c r="K63">
        <f t="shared" si="5"/>
        <v>0</v>
      </c>
      <c r="L63">
        <f t="shared" si="3"/>
        <v>1</v>
      </c>
      <c r="M63">
        <f t="shared" si="4"/>
        <v>0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0"/>
        <v>335445668.48371935</v>
      </c>
      <c r="I64">
        <f t="shared" si="1"/>
        <v>1</v>
      </c>
      <c r="J64">
        <f t="shared" si="2"/>
        <v>1</v>
      </c>
      <c r="K64">
        <f t="shared" si="5"/>
        <v>1</v>
      </c>
      <c r="L64">
        <f t="shared" si="3"/>
        <v>0</v>
      </c>
      <c r="M64">
        <f t="shared" si="4"/>
        <v>-1000000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0"/>
        <v>332915608.96311164</v>
      </c>
      <c r="I65">
        <f t="shared" si="1"/>
        <v>1</v>
      </c>
      <c r="J65">
        <f t="shared" si="2"/>
        <v>1</v>
      </c>
      <c r="K65">
        <f t="shared" si="5"/>
        <v>1</v>
      </c>
      <c r="L65">
        <f t="shared" si="3"/>
        <v>0</v>
      </c>
      <c r="M65">
        <f t="shared" si="4"/>
        <v>-1000000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0"/>
        <v>329388634.63326263</v>
      </c>
      <c r="I66">
        <f t="shared" si="1"/>
        <v>1</v>
      </c>
      <c r="J66">
        <f t="shared" si="2"/>
        <v>1</v>
      </c>
      <c r="K66">
        <f t="shared" si="5"/>
        <v>0</v>
      </c>
      <c r="L66">
        <f t="shared" si="3"/>
        <v>1</v>
      </c>
      <c r="M66">
        <f t="shared" si="4"/>
        <v>0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0"/>
        <v>259496536.13053834</v>
      </c>
      <c r="I67">
        <f t="shared" si="1"/>
        <v>1</v>
      </c>
      <c r="J67">
        <f t="shared" si="2"/>
        <v>1</v>
      </c>
      <c r="K67">
        <f t="shared" si="5"/>
        <v>0</v>
      </c>
      <c r="L67">
        <f t="shared" si="3"/>
        <v>1</v>
      </c>
      <c r="M67">
        <f t="shared" si="4"/>
        <v>0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0"/>
        <v>281937585.5655762</v>
      </c>
      <c r="I68">
        <f t="shared" si="1"/>
        <v>1</v>
      </c>
      <c r="J68">
        <f t="shared" si="2"/>
        <v>1</v>
      </c>
      <c r="K68">
        <f t="shared" si="5"/>
        <v>0</v>
      </c>
      <c r="L68">
        <f t="shared" si="3"/>
        <v>1</v>
      </c>
      <c r="M68">
        <f t="shared" si="4"/>
        <v>0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0"/>
        <v>276091553.94056737</v>
      </c>
      <c r="I69">
        <f t="shared" si="1"/>
        <v>1</v>
      </c>
      <c r="J69">
        <f t="shared" si="2"/>
        <v>1</v>
      </c>
      <c r="K69">
        <f t="shared" si="5"/>
        <v>1</v>
      </c>
      <c r="L69">
        <f t="shared" si="3"/>
        <v>0</v>
      </c>
      <c r="M69">
        <f t="shared" si="4"/>
        <v>-1000000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0"/>
        <v>428154389.8939358</v>
      </c>
      <c r="I70">
        <f t="shared" si="1"/>
        <v>1</v>
      </c>
      <c r="J70">
        <f t="shared" si="2"/>
        <v>1</v>
      </c>
      <c r="K70">
        <f t="shared" si="5"/>
        <v>1</v>
      </c>
      <c r="L70">
        <f t="shared" si="3"/>
        <v>0</v>
      </c>
      <c r="M70">
        <f t="shared" si="4"/>
        <v>-1000000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6">$G$4+SUMPRODUCT($B$4:$F$4,B71:F71)</f>
        <v>1159800590.6954045</v>
      </c>
      <c r="I71">
        <f t="shared" ref="I71:I92" si="7">1/(1+EXP(0-H71))</f>
        <v>1</v>
      </c>
      <c r="J71">
        <f t="shared" ref="J71:J92" si="8">IF(I71&lt;=0.5,0,1)</f>
        <v>1</v>
      </c>
      <c r="K71">
        <f t="shared" ref="K71:K92" si="9">IF(G71=J71,0,1)</f>
        <v>1</v>
      </c>
      <c r="L71">
        <f t="shared" ref="L71:L92" si="10">IF(G71=1,I71,1-I71)</f>
        <v>0</v>
      </c>
      <c r="M71">
        <f t="shared" ref="M71:M92" si="11">IF(L71=0,-1000000,LN(L71))</f>
        <v>-1000000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6"/>
        <v>252074651.51873857</v>
      </c>
      <c r="I72">
        <f t="shared" si="7"/>
        <v>1</v>
      </c>
      <c r="J72">
        <f t="shared" si="8"/>
        <v>1</v>
      </c>
      <c r="K72">
        <f t="shared" si="9"/>
        <v>0</v>
      </c>
      <c r="L72">
        <f t="shared" si="10"/>
        <v>1</v>
      </c>
      <c r="M72">
        <f t="shared" si="11"/>
        <v>0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6"/>
        <v>2549638520.8172274</v>
      </c>
      <c r="I73">
        <f t="shared" si="7"/>
        <v>1</v>
      </c>
      <c r="J73">
        <f t="shared" si="8"/>
        <v>1</v>
      </c>
      <c r="K73">
        <f t="shared" si="9"/>
        <v>1</v>
      </c>
      <c r="L73">
        <f t="shared" si="10"/>
        <v>0</v>
      </c>
      <c r="M73">
        <f t="shared" si="11"/>
        <v>-1000000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6"/>
        <v>365024740.80479205</v>
      </c>
      <c r="I74">
        <f t="shared" si="7"/>
        <v>1</v>
      </c>
      <c r="J74">
        <f t="shared" si="8"/>
        <v>1</v>
      </c>
      <c r="K74">
        <f t="shared" si="9"/>
        <v>1</v>
      </c>
      <c r="L74">
        <f t="shared" si="10"/>
        <v>0</v>
      </c>
      <c r="M74">
        <f t="shared" si="11"/>
        <v>-1000000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6"/>
        <v>617580640.92953908</v>
      </c>
      <c r="I75">
        <f t="shared" si="7"/>
        <v>1</v>
      </c>
      <c r="J75">
        <f t="shared" si="8"/>
        <v>1</v>
      </c>
      <c r="K75">
        <f t="shared" si="9"/>
        <v>1</v>
      </c>
      <c r="L75">
        <f t="shared" si="10"/>
        <v>0</v>
      </c>
      <c r="M75">
        <f t="shared" si="11"/>
        <v>-1000000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6"/>
        <v>336801254.89436227</v>
      </c>
      <c r="I76">
        <f t="shared" si="7"/>
        <v>1</v>
      </c>
      <c r="J76">
        <f t="shared" si="8"/>
        <v>1</v>
      </c>
      <c r="K76">
        <f t="shared" si="9"/>
        <v>1</v>
      </c>
      <c r="L76">
        <f t="shared" si="10"/>
        <v>0</v>
      </c>
      <c r="M76">
        <f t="shared" si="11"/>
        <v>-1000000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6"/>
        <v>245023679.04479015</v>
      </c>
      <c r="I77">
        <f t="shared" si="7"/>
        <v>1</v>
      </c>
      <c r="J77">
        <f t="shared" si="8"/>
        <v>1</v>
      </c>
      <c r="K77">
        <f t="shared" si="9"/>
        <v>0</v>
      </c>
      <c r="L77">
        <f t="shared" si="10"/>
        <v>1</v>
      </c>
      <c r="M77">
        <f t="shared" si="11"/>
        <v>0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6"/>
        <v>307323298.03926206</v>
      </c>
      <c r="I78">
        <f t="shared" si="7"/>
        <v>1</v>
      </c>
      <c r="J78">
        <f t="shared" si="8"/>
        <v>1</v>
      </c>
      <c r="K78">
        <f t="shared" si="9"/>
        <v>0</v>
      </c>
      <c r="L78">
        <f t="shared" si="10"/>
        <v>1</v>
      </c>
      <c r="M78">
        <f t="shared" si="11"/>
        <v>0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6"/>
        <v>339812462.83135164</v>
      </c>
      <c r="I79">
        <f t="shared" si="7"/>
        <v>1</v>
      </c>
      <c r="J79">
        <f t="shared" si="8"/>
        <v>1</v>
      </c>
      <c r="K79">
        <f t="shared" si="9"/>
        <v>0</v>
      </c>
      <c r="L79">
        <f t="shared" si="10"/>
        <v>1</v>
      </c>
      <c r="M79">
        <f t="shared" si="11"/>
        <v>0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6"/>
        <v>629423795.2528944</v>
      </c>
      <c r="I80">
        <f t="shared" si="7"/>
        <v>1</v>
      </c>
      <c r="J80">
        <f t="shared" si="8"/>
        <v>1</v>
      </c>
      <c r="K80">
        <f t="shared" si="9"/>
        <v>1</v>
      </c>
      <c r="L80">
        <f t="shared" si="10"/>
        <v>0</v>
      </c>
      <c r="M80">
        <f t="shared" si="11"/>
        <v>-1000000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6"/>
        <v>471188254.99667281</v>
      </c>
      <c r="I81">
        <f t="shared" si="7"/>
        <v>1</v>
      </c>
      <c r="J81">
        <f t="shared" si="8"/>
        <v>1</v>
      </c>
      <c r="K81">
        <f t="shared" si="9"/>
        <v>1</v>
      </c>
      <c r="L81">
        <f t="shared" si="10"/>
        <v>0</v>
      </c>
      <c r="M81">
        <f t="shared" si="11"/>
        <v>-1000000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6"/>
        <v>515391345.4355278</v>
      </c>
      <c r="I82">
        <f t="shared" si="7"/>
        <v>1</v>
      </c>
      <c r="J82">
        <f t="shared" si="8"/>
        <v>1</v>
      </c>
      <c r="K82">
        <f t="shared" si="9"/>
        <v>1</v>
      </c>
      <c r="L82">
        <f t="shared" si="10"/>
        <v>0</v>
      </c>
      <c r="M82">
        <f t="shared" si="11"/>
        <v>-1000000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6"/>
        <v>817279493.23807645</v>
      </c>
      <c r="I83">
        <f t="shared" si="7"/>
        <v>1</v>
      </c>
      <c r="J83">
        <f t="shared" si="8"/>
        <v>1</v>
      </c>
      <c r="K83">
        <f t="shared" si="9"/>
        <v>1</v>
      </c>
      <c r="L83">
        <f t="shared" si="10"/>
        <v>0</v>
      </c>
      <c r="M83">
        <f t="shared" si="11"/>
        <v>-1000000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6"/>
        <v>559610711.69346213</v>
      </c>
      <c r="I84">
        <f t="shared" si="7"/>
        <v>1</v>
      </c>
      <c r="J84">
        <f t="shared" si="8"/>
        <v>1</v>
      </c>
      <c r="K84">
        <f t="shared" si="9"/>
        <v>1</v>
      </c>
      <c r="L84">
        <f t="shared" si="10"/>
        <v>0</v>
      </c>
      <c r="M84">
        <f t="shared" si="11"/>
        <v>-1000000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6"/>
        <v>316517621.15495622</v>
      </c>
      <c r="I85">
        <f t="shared" si="7"/>
        <v>1</v>
      </c>
      <c r="J85">
        <f t="shared" si="8"/>
        <v>1</v>
      </c>
      <c r="K85">
        <f t="shared" si="9"/>
        <v>1</v>
      </c>
      <c r="L85">
        <f t="shared" si="10"/>
        <v>0</v>
      </c>
      <c r="M85">
        <f t="shared" si="11"/>
        <v>-1000000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6"/>
        <v>318544858.61651051</v>
      </c>
      <c r="I86">
        <f t="shared" si="7"/>
        <v>1</v>
      </c>
      <c r="J86">
        <f t="shared" si="8"/>
        <v>1</v>
      </c>
      <c r="K86">
        <f t="shared" si="9"/>
        <v>1</v>
      </c>
      <c r="L86">
        <f t="shared" si="10"/>
        <v>0</v>
      </c>
      <c r="M86">
        <f t="shared" si="11"/>
        <v>-1000000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6"/>
        <v>512020004.33039218</v>
      </c>
      <c r="I87">
        <f t="shared" si="7"/>
        <v>1</v>
      </c>
      <c r="J87">
        <f t="shared" si="8"/>
        <v>1</v>
      </c>
      <c r="K87">
        <f t="shared" si="9"/>
        <v>0</v>
      </c>
      <c r="L87">
        <f t="shared" si="10"/>
        <v>1</v>
      </c>
      <c r="M87">
        <f t="shared" si="11"/>
        <v>0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6"/>
        <v>340341039.91551411</v>
      </c>
      <c r="I88">
        <f t="shared" si="7"/>
        <v>1</v>
      </c>
      <c r="J88">
        <f t="shared" si="8"/>
        <v>1</v>
      </c>
      <c r="K88">
        <f t="shared" si="9"/>
        <v>0</v>
      </c>
      <c r="L88">
        <f t="shared" si="10"/>
        <v>1</v>
      </c>
      <c r="M88">
        <f t="shared" si="11"/>
        <v>0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6"/>
        <v>241194945.57580325</v>
      </c>
      <c r="I89">
        <f t="shared" si="7"/>
        <v>1</v>
      </c>
      <c r="J89">
        <f t="shared" si="8"/>
        <v>1</v>
      </c>
      <c r="K89">
        <f t="shared" si="9"/>
        <v>0</v>
      </c>
      <c r="L89">
        <f t="shared" si="10"/>
        <v>1</v>
      </c>
      <c r="M89">
        <f t="shared" si="11"/>
        <v>0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6"/>
        <v>1349810355.4553235</v>
      </c>
      <c r="I90">
        <f t="shared" si="7"/>
        <v>1</v>
      </c>
      <c r="J90">
        <f t="shared" si="8"/>
        <v>1</v>
      </c>
      <c r="K90">
        <f t="shared" si="9"/>
        <v>1</v>
      </c>
      <c r="L90">
        <f t="shared" si="10"/>
        <v>0</v>
      </c>
      <c r="M90">
        <f t="shared" si="11"/>
        <v>-1000000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6"/>
        <v>470307161.96376634</v>
      </c>
      <c r="I91">
        <f t="shared" si="7"/>
        <v>1</v>
      </c>
      <c r="J91">
        <f t="shared" si="8"/>
        <v>1</v>
      </c>
      <c r="K91">
        <f t="shared" si="9"/>
        <v>1</v>
      </c>
      <c r="L91">
        <f t="shared" si="10"/>
        <v>0</v>
      </c>
      <c r="M91">
        <f t="shared" si="11"/>
        <v>-1000000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6"/>
        <v>442464767.74637562</v>
      </c>
      <c r="I92">
        <f t="shared" si="7"/>
        <v>1</v>
      </c>
      <c r="J92">
        <f t="shared" si="8"/>
        <v>1</v>
      </c>
      <c r="K92">
        <f t="shared" si="9"/>
        <v>1</v>
      </c>
      <c r="L92">
        <f t="shared" si="10"/>
        <v>0</v>
      </c>
      <c r="M92">
        <f t="shared" si="11"/>
        <v>-1000000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2025-11-24T11:52:31Z</dcterms:modified>
</cp:coreProperties>
</file>