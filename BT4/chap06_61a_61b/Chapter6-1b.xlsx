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F9A2B8AF-BF55-49D1-8C39-5C3E88D74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H6" i="3"/>
  <c r="H98" i="3"/>
  <c r="I98" i="3" s="1"/>
  <c r="J98" i="3" s="1"/>
  <c r="H99" i="3"/>
  <c r="I99" i="3" s="1"/>
  <c r="J99" i="3" s="1"/>
  <c r="H100" i="3"/>
  <c r="I100" i="3" s="1"/>
  <c r="J100" i="3" s="1"/>
  <c r="H101" i="3"/>
  <c r="I101" i="3" s="1"/>
  <c r="J101" i="3" s="1"/>
  <c r="H97" i="3"/>
  <c r="I97" i="3" s="1"/>
  <c r="J97" i="3" s="1"/>
  <c r="H92" i="3"/>
  <c r="I92" i="3" s="1"/>
  <c r="J92" i="3" s="1"/>
  <c r="B3" i="3" l="1"/>
  <c r="C3" i="3" l="1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K6" i="3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K92" i="3"/>
  <c r="L19" i="3"/>
  <c r="M19" i="3" s="1"/>
  <c r="J19" i="3"/>
  <c r="K19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<sst xmlns="http://schemas.openxmlformats.org/spreadsheetml/2006/main" count="31" uniqueCount="22">
  <si>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</si>
  <si>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</si>
  <si>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</si>
  <si>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</si>
  <si>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</si>
  <si>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</si>
  <si>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</si>
  <si>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</si>
  <si>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</si>
  <si>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</si>
  <si>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total Diff =</t>
  </si>
  <si>
    <t>Outcome</t>
  </si>
  <si>
    <t>PatientID</t>
  </si>
  <si>
    <t>Gene1</t>
  </si>
  <si>
    <t>Gene2</t>
  </si>
  <si>
    <t>Gene3</t>
  </si>
  <si>
    <t>Gene4</t>
  </si>
  <si>
    <t>Gene5</t>
  </si>
  <si>
    <t>To-Maximize</t>
  </si>
  <si>
    <t>Likelihood</t>
  </si>
  <si>
    <t>Ln(likelihood)</t>
  </si>
  <si>
    <t>Scoring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</si>
</sst>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B67A83-F8A3-43C2-BEF2-B3C759399ED9}">
  <we:reference id="wa200000018" version="25.2.0.0" store="en-US" storeType="OMEX"/>
  <we:alternateReferences>
    <we:reference id="wa200000018" version="25.2.0.0" store="wa200000018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L1" sqref="L1"/>
    </sheetView>
  </sheetViews>
  <sheetFormatPr defaultRowHeight="14.4" x14ac:dyDescent="0.3"/>
  <cols>
    <col min="7" max="7" width="14" bestFit="1" customWidth="1"/>
    <col min="8" max="8" width="16.109375" bestFit="1" customWidth="1"/>
    <col min="9" max="9" width="12" bestFit="1" customWidth="1"/>
    <col min="10" max="11" width="12" customWidth="1"/>
    <col min="12" max="12" width="12" bestFit="1" customWidth="1"/>
    <col min="13" max="13" width="14.1093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18</v>
      </c>
      <c r="M1">
        <f>SUM(M6:M92)</f>
        <v>-28.721089337019841</v>
      </c>
    </row>
    <row r="2" spans="1: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10</v>
      </c>
      <c r="K2">
        <f>SUM(K6:K92)</f>
        <v>12</v>
      </c>
    </row>
    <row r="3" spans="1:13" x14ac:dyDescent="0.3">
      <c r="B3">
        <f>INDEX(LINEST($G$6:$G$92,$B$6:$F$92),1,B1)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3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0</v>
      </c>
      <c r="H5" s="1" t="s">
        <v>8</v>
      </c>
      <c r="I5" s="1" t="s">
        <v>7</v>
      </c>
      <c r="J5" s="1" t="s">
        <v>11</v>
      </c>
      <c r="K5" s="1" t="s">
        <v>9</v>
      </c>
      <c r="L5" s="1" t="s">
        <v>19</v>
      </c>
      <c r="M5" s="1" t="s">
        <v>20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-35.67431731446915</v>
      </c>
      <c r="I6">
        <f>1/(1+EXP(0-H6))</f>
        <v>3.2124830483704801E-16</v>
      </c>
      <c r="K6">
        <f>IF(G6=J6,0,1)</f>
        <v>0</v>
      </c>
      <c r="L6">
        <f>IF(G6=1,I6,1-I6)</f>
        <v>0.99999999999999967</v>
      </c>
      <c r="M6">
        <f>IF(L6=0, -1000000, LN(L6))</f>
        <v>-3.3306690738754701E-16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-2.1258483260763406</v>
      </c>
      <c r="I7">
        <f t="shared" ref="I7:I70" si="2">1/(1+EXP(0-H7))</f>
        <v>0.10660976890153794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0.89339023109846205</v>
      </c>
      <c r="M7">
        <f t="shared" ref="M7:M70" si="6">IF(L7=0, -1000000, LN(L7))</f>
        <v>-0.11273180464543447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-0.64295318080499619</v>
      </c>
      <c r="I8">
        <f t="shared" si="2"/>
        <v>0.34457927427248131</v>
      </c>
      <c r="J8">
        <f t="shared" si="3"/>
        <v>0</v>
      </c>
      <c r="K8">
        <f t="shared" si="4"/>
        <v>1</v>
      </c>
      <c r="L8">
        <f t="shared" si="5"/>
        <v>0.34457927427248131</v>
      </c>
      <c r="M8">
        <f t="shared" si="6"/>
        <v>-1.0654311010020945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2.0492994918243399</v>
      </c>
      <c r="I9">
        <f t="shared" si="2"/>
        <v>0.88587681712797828</v>
      </c>
      <c r="J9">
        <f t="shared" si="3"/>
        <v>1</v>
      </c>
      <c r="K9">
        <f t="shared" si="4"/>
        <v>0</v>
      </c>
      <c r="L9">
        <f t="shared" si="5"/>
        <v>0.88587681712797828</v>
      </c>
      <c r="M9">
        <f t="shared" si="6"/>
        <v>-0.12117737062991411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-4.9878491215796927</v>
      </c>
      <c r="I10">
        <f t="shared" si="2"/>
        <v>6.7741167695965646E-3</v>
      </c>
      <c r="J10">
        <f t="shared" si="3"/>
        <v>0</v>
      </c>
      <c r="K10">
        <f t="shared" si="4"/>
        <v>0</v>
      </c>
      <c r="L10">
        <f t="shared" si="5"/>
        <v>0.99322588323040339</v>
      </c>
      <c r="M10">
        <f t="shared" si="6"/>
        <v>-6.797165246287964E-3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-6.9288615190318659</v>
      </c>
      <c r="I11">
        <f t="shared" si="2"/>
        <v>9.7815720948861906E-4</v>
      </c>
      <c r="J11">
        <f t="shared" si="3"/>
        <v>0</v>
      </c>
      <c r="K11">
        <f t="shared" si="4"/>
        <v>0</v>
      </c>
      <c r="L11">
        <f t="shared" si="5"/>
        <v>0.99902184279051143</v>
      </c>
      <c r="M11">
        <f t="shared" si="6"/>
        <v>-9.786359174450282E-4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0.39279450142443784</v>
      </c>
      <c r="I12">
        <f t="shared" si="2"/>
        <v>0.59695523723158384</v>
      </c>
      <c r="J12">
        <f t="shared" si="3"/>
        <v>1</v>
      </c>
      <c r="K12">
        <f t="shared" si="4"/>
        <v>1</v>
      </c>
      <c r="L12">
        <f t="shared" si="5"/>
        <v>0.40304476276841616</v>
      </c>
      <c r="M12">
        <f t="shared" si="6"/>
        <v>-0.9087076493366617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0.27970125991649741</v>
      </c>
      <c r="I13">
        <f t="shared" si="2"/>
        <v>0.56947298230658172</v>
      </c>
      <c r="J13">
        <f t="shared" si="3"/>
        <v>1</v>
      </c>
      <c r="K13">
        <f t="shared" si="4"/>
        <v>0</v>
      </c>
      <c r="L13">
        <f t="shared" si="5"/>
        <v>0.56947298230658172</v>
      </c>
      <c r="M13">
        <f t="shared" si="6"/>
        <v>-0.56304393829738097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-2.442906353599434</v>
      </c>
      <c r="I14">
        <f t="shared" si="2"/>
        <v>7.9958843847470318E-2</v>
      </c>
      <c r="J14">
        <f t="shared" si="3"/>
        <v>0</v>
      </c>
      <c r="K14">
        <f t="shared" si="4"/>
        <v>0</v>
      </c>
      <c r="L14">
        <f t="shared" si="5"/>
        <v>0.92004115615252968</v>
      </c>
      <c r="M14">
        <f t="shared" si="6"/>
        <v>-8.3336874991227189E-2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-30.484232879754774</v>
      </c>
      <c r="I15">
        <f t="shared" si="2"/>
        <v>5.765883660278014E-14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-5.7620574978047291E-14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-4.5701459960584234</v>
      </c>
      <c r="I16">
        <f t="shared" si="2"/>
        <v>1.0250291004959078E-2</v>
      </c>
      <c r="J16">
        <f t="shared" si="3"/>
        <v>0</v>
      </c>
      <c r="K16">
        <f t="shared" si="4"/>
        <v>0</v>
      </c>
      <c r="L16">
        <f t="shared" si="5"/>
        <v>0.98974970899504089</v>
      </c>
      <c r="M16">
        <f t="shared" si="6"/>
        <v>-1.0303187014590553E-2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0.51141914440233549</v>
      </c>
      <c r="I17">
        <f t="shared" si="2"/>
        <v>0.6251390960755111</v>
      </c>
      <c r="J17">
        <f t="shared" si="3"/>
        <v>1</v>
      </c>
      <c r="K17">
        <f t="shared" si="4"/>
        <v>0</v>
      </c>
      <c r="L17">
        <f t="shared" si="5"/>
        <v>0.6251390960755111</v>
      </c>
      <c r="M17">
        <f t="shared" si="6"/>
        <v>-0.46978110028632336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1.4236335571772032</v>
      </c>
      <c r="I18">
        <f t="shared" si="2"/>
        <v>0.80590741163432056</v>
      </c>
      <c r="J18">
        <f t="shared" si="3"/>
        <v>1</v>
      </c>
      <c r="K18">
        <f t="shared" si="4"/>
        <v>0</v>
      </c>
      <c r="L18">
        <f t="shared" si="5"/>
        <v>0.80590741163432056</v>
      </c>
      <c r="M18">
        <f t="shared" si="6"/>
        <v>-0.21578641697684897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-2.3988936866436479</v>
      </c>
      <c r="I19">
        <f t="shared" si="2"/>
        <v>8.325709732999137E-2</v>
      </c>
      <c r="J19">
        <f t="shared" si="3"/>
        <v>0</v>
      </c>
      <c r="K19">
        <f t="shared" si="4"/>
        <v>0</v>
      </c>
      <c r="L19">
        <f t="shared" si="5"/>
        <v>0.91674290267000869</v>
      </c>
      <c r="M19">
        <f t="shared" si="6"/>
        <v>-8.6928213898675097E-2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-36.616680764318403</v>
      </c>
      <c r="I20">
        <f t="shared" si="2"/>
        <v>1.2519229429087646E-16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-1.1102230246251565E-16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-13.87458678881044</v>
      </c>
      <c r="I21">
        <f t="shared" si="2"/>
        <v>9.4263402000169919E-7</v>
      </c>
      <c r="J21">
        <f t="shared" si="3"/>
        <v>0</v>
      </c>
      <c r="K21">
        <f t="shared" si="4"/>
        <v>0</v>
      </c>
      <c r="L21">
        <f t="shared" si="5"/>
        <v>0.99999905736598005</v>
      </c>
      <c r="M21">
        <f t="shared" si="6"/>
        <v>-9.4263446423115408E-7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-6.0288027912986166</v>
      </c>
      <c r="I22">
        <f t="shared" si="2"/>
        <v>2.4025892442693336E-3</v>
      </c>
      <c r="J22">
        <f t="shared" si="3"/>
        <v>0</v>
      </c>
      <c r="K22">
        <f t="shared" si="4"/>
        <v>0</v>
      </c>
      <c r="L22">
        <f t="shared" si="5"/>
        <v>0.99759741075573072</v>
      </c>
      <c r="M22">
        <f t="shared" si="6"/>
        <v>-2.4054800930840593E-3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-8.1942396982752683</v>
      </c>
      <c r="I23">
        <f t="shared" si="2"/>
        <v>2.7616393523027973E-4</v>
      </c>
      <c r="J23">
        <f t="shared" si="3"/>
        <v>0</v>
      </c>
      <c r="K23">
        <f t="shared" si="4"/>
        <v>0</v>
      </c>
      <c r="L23">
        <f t="shared" si="5"/>
        <v>0.99972383606476967</v>
      </c>
      <c r="M23">
        <f t="shared" si="6"/>
        <v>-2.7620207551203632E-4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1.5182028565183292</v>
      </c>
      <c r="I24">
        <f t="shared" si="2"/>
        <v>0.82027368961855052</v>
      </c>
      <c r="J24">
        <f t="shared" si="3"/>
        <v>1</v>
      </c>
      <c r="K24">
        <f t="shared" si="4"/>
        <v>0</v>
      </c>
      <c r="L24">
        <f t="shared" si="5"/>
        <v>0.82027368961855052</v>
      </c>
      <c r="M24">
        <f t="shared" si="6"/>
        <v>-0.19811722658442804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-4.4380633753483245</v>
      </c>
      <c r="I25">
        <f t="shared" si="2"/>
        <v>1.1680752425091831E-2</v>
      </c>
      <c r="J25">
        <f t="shared" si="3"/>
        <v>0</v>
      </c>
      <c r="K25">
        <f t="shared" si="4"/>
        <v>0</v>
      </c>
      <c r="L25">
        <f t="shared" si="5"/>
        <v>0.98831924757490819</v>
      </c>
      <c r="M25">
        <f t="shared" si="6"/>
        <v>-1.1749508352115459E-2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-2.5296651839549043</v>
      </c>
      <c r="I26">
        <f t="shared" si="2"/>
        <v>7.3804530498398441E-2</v>
      </c>
      <c r="J26">
        <f t="shared" si="3"/>
        <v>0</v>
      </c>
      <c r="K26">
        <f t="shared" si="4"/>
        <v>0</v>
      </c>
      <c r="L26">
        <f t="shared" si="5"/>
        <v>0.92619546950160159</v>
      </c>
      <c r="M26">
        <f t="shared" si="6"/>
        <v>-7.6669976437837975E-2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-4.1743942434294787</v>
      </c>
      <c r="I27">
        <f t="shared" si="2"/>
        <v>1.515141109316641E-2</v>
      </c>
      <c r="J27">
        <f t="shared" si="3"/>
        <v>0</v>
      </c>
      <c r="K27">
        <f t="shared" si="4"/>
        <v>0</v>
      </c>
      <c r="L27">
        <f t="shared" si="5"/>
        <v>0.98484858890683358</v>
      </c>
      <c r="M27">
        <f t="shared" si="6"/>
        <v>-1.5267366471547614E-2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0.56665871508496046</v>
      </c>
      <c r="I28">
        <f t="shared" si="2"/>
        <v>0.63799183417957395</v>
      </c>
      <c r="J28">
        <f t="shared" si="3"/>
        <v>1</v>
      </c>
      <c r="K28">
        <f t="shared" si="4"/>
        <v>1</v>
      </c>
      <c r="L28">
        <f t="shared" si="5"/>
        <v>0.36200816582042605</v>
      </c>
      <c r="M28">
        <f t="shared" si="6"/>
        <v>-1.0160885098957939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-3.5749195494792581</v>
      </c>
      <c r="I29">
        <f t="shared" si="2"/>
        <v>2.7254083536867403E-2</v>
      </c>
      <c r="J29">
        <f t="shared" si="3"/>
        <v>0</v>
      </c>
      <c r="K29">
        <f t="shared" si="4"/>
        <v>0</v>
      </c>
      <c r="L29">
        <f t="shared" si="5"/>
        <v>0.97274591646313258</v>
      </c>
      <c r="M29">
        <f t="shared" si="6"/>
        <v>-2.7632365056758239E-2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-5.8120860132257004</v>
      </c>
      <c r="I30">
        <f t="shared" si="2"/>
        <v>2.9822634122688512E-3</v>
      </c>
      <c r="J30">
        <f t="shared" si="3"/>
        <v>0</v>
      </c>
      <c r="K30">
        <f t="shared" si="4"/>
        <v>0</v>
      </c>
      <c r="L30">
        <f t="shared" si="5"/>
        <v>0.99701773658773118</v>
      </c>
      <c r="M30">
        <f t="shared" si="6"/>
        <v>-2.9867192209341439E-3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-2.0591439771785502</v>
      </c>
      <c r="I31">
        <f t="shared" si="2"/>
        <v>0.11313168889371708</v>
      </c>
      <c r="J31">
        <f t="shared" si="3"/>
        <v>0</v>
      </c>
      <c r="K31">
        <f t="shared" si="4"/>
        <v>0</v>
      </c>
      <c r="L31">
        <f t="shared" si="5"/>
        <v>0.88686831110628295</v>
      </c>
      <c r="M31">
        <f t="shared" si="6"/>
        <v>-0.12005877318925778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-17.183917898953098</v>
      </c>
      <c r="I32">
        <f t="shared" si="2"/>
        <v>3.4444450761758989E-8</v>
      </c>
      <c r="J32">
        <f t="shared" si="3"/>
        <v>0</v>
      </c>
      <c r="K32">
        <f t="shared" si="4"/>
        <v>0</v>
      </c>
      <c r="L32">
        <f t="shared" si="5"/>
        <v>0.99999996555554926</v>
      </c>
      <c r="M32">
        <f t="shared" si="6"/>
        <v>-3.4444451329292041E-8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0.53576893020820116</v>
      </c>
      <c r="I33">
        <f t="shared" si="2"/>
        <v>0.63082761530465603</v>
      </c>
      <c r="J33">
        <f t="shared" si="3"/>
        <v>1</v>
      </c>
      <c r="K33">
        <f t="shared" si="4"/>
        <v>0</v>
      </c>
      <c r="L33">
        <f t="shared" si="5"/>
        <v>0.63082761530465603</v>
      </c>
      <c r="M33">
        <f t="shared" si="6"/>
        <v>-0.46072264662597545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-2.3400399318635925</v>
      </c>
      <c r="I34">
        <f t="shared" si="2"/>
        <v>8.7860714588791008E-2</v>
      </c>
      <c r="J34">
        <f t="shared" si="3"/>
        <v>0</v>
      </c>
      <c r="K34">
        <f t="shared" si="4"/>
        <v>1</v>
      </c>
      <c r="L34">
        <f t="shared" si="5"/>
        <v>8.7860714588791008E-2</v>
      </c>
      <c r="M34">
        <f t="shared" si="6"/>
        <v>-2.4320025072011204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-3.2436985577178925</v>
      </c>
      <c r="I35">
        <f t="shared" si="2"/>
        <v>3.7553982137913354E-2</v>
      </c>
      <c r="J35">
        <f t="shared" si="3"/>
        <v>0</v>
      </c>
      <c r="K35">
        <f t="shared" si="4"/>
        <v>0</v>
      </c>
      <c r="L35">
        <f t="shared" si="5"/>
        <v>0.96244601786208661</v>
      </c>
      <c r="M35">
        <f t="shared" si="6"/>
        <v>-3.8277299731130976E-2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-12.399558799956857</v>
      </c>
      <c r="I36">
        <f t="shared" si="2"/>
        <v>4.1203892522896217E-6</v>
      </c>
      <c r="J36">
        <f t="shared" si="3"/>
        <v>0</v>
      </c>
      <c r="K36">
        <f t="shared" si="4"/>
        <v>0</v>
      </c>
      <c r="L36">
        <f t="shared" si="5"/>
        <v>0.99999587961074776</v>
      </c>
      <c r="M36">
        <f t="shared" si="6"/>
        <v>-4.1203977410650129E-6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-4.2890539508791594</v>
      </c>
      <c r="I37">
        <f t="shared" si="2"/>
        <v>1.3532262778348953E-2</v>
      </c>
      <c r="J37">
        <f t="shared" si="3"/>
        <v>0</v>
      </c>
      <c r="K37">
        <f t="shared" si="4"/>
        <v>0</v>
      </c>
      <c r="L37">
        <f t="shared" si="5"/>
        <v>0.98646773722165104</v>
      </c>
      <c r="M37">
        <f t="shared" si="6"/>
        <v>-1.3624658340476674E-2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1.8224776809885737</v>
      </c>
      <c r="I38">
        <f t="shared" si="2"/>
        <v>0.86086316358923598</v>
      </c>
      <c r="J38">
        <f t="shared" si="3"/>
        <v>1</v>
      </c>
      <c r="K38">
        <f t="shared" si="4"/>
        <v>0</v>
      </c>
      <c r="L38">
        <f t="shared" si="5"/>
        <v>0.86086316358923598</v>
      </c>
      <c r="M38">
        <f t="shared" si="6"/>
        <v>-0.14981971449103496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-0.97238286872823565</v>
      </c>
      <c r="I39">
        <f t="shared" si="2"/>
        <v>0.27440580079670251</v>
      </c>
      <c r="J39">
        <f t="shared" si="3"/>
        <v>0</v>
      </c>
      <c r="K39">
        <f t="shared" si="4"/>
        <v>0</v>
      </c>
      <c r="L39">
        <f t="shared" si="5"/>
        <v>0.72559419920329749</v>
      </c>
      <c r="M39">
        <f t="shared" si="6"/>
        <v>-0.3207643746959426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-2.2547255730159232</v>
      </c>
      <c r="I40">
        <f t="shared" si="2"/>
        <v>9.4942625402322414E-2</v>
      </c>
      <c r="J40">
        <f t="shared" si="3"/>
        <v>0</v>
      </c>
      <c r="K40">
        <f t="shared" si="4"/>
        <v>0</v>
      </c>
      <c r="L40">
        <f t="shared" si="5"/>
        <v>0.90505737459767754</v>
      </c>
      <c r="M40">
        <f t="shared" si="6"/>
        <v>-9.975693994623766E-2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-0.6548533885134491</v>
      </c>
      <c r="I41">
        <f t="shared" si="2"/>
        <v>0.34189667226111237</v>
      </c>
      <c r="J41">
        <f t="shared" si="3"/>
        <v>0</v>
      </c>
      <c r="K41">
        <f t="shared" si="4"/>
        <v>0</v>
      </c>
      <c r="L41">
        <f t="shared" si="5"/>
        <v>0.65810332773888769</v>
      </c>
      <c r="M41">
        <f t="shared" si="6"/>
        <v>-0.41839332694739345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-11.715629398901953</v>
      </c>
      <c r="I42">
        <f t="shared" si="2"/>
        <v>8.1651328250033889E-6</v>
      </c>
      <c r="J42">
        <f t="shared" si="3"/>
        <v>0</v>
      </c>
      <c r="K42">
        <f t="shared" si="4"/>
        <v>0</v>
      </c>
      <c r="L42">
        <f t="shared" si="5"/>
        <v>0.99999183486717502</v>
      </c>
      <c r="M42">
        <f t="shared" si="6"/>
        <v>-8.1651661598561419E-6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-0.47252770691675394</v>
      </c>
      <c r="I43">
        <f t="shared" si="2"/>
        <v>0.3840181440392757</v>
      </c>
      <c r="J43">
        <f t="shared" si="3"/>
        <v>0</v>
      </c>
      <c r="K43">
        <f t="shared" si="4"/>
        <v>0</v>
      </c>
      <c r="L43">
        <f t="shared" si="5"/>
        <v>0.6159818559607243</v>
      </c>
      <c r="M43">
        <f t="shared" si="6"/>
        <v>-0.48453777049162661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-8.3023131420513572</v>
      </c>
      <c r="I44">
        <f t="shared" si="2"/>
        <v>2.4788117642019516E-4</v>
      </c>
      <c r="J44">
        <f t="shared" si="3"/>
        <v>0</v>
      </c>
      <c r="K44">
        <f t="shared" si="4"/>
        <v>0</v>
      </c>
      <c r="L44">
        <f t="shared" si="5"/>
        <v>0.99975211882357984</v>
      </c>
      <c r="M44">
        <f t="shared" si="6"/>
        <v>-2.4791190403694341E-4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-13.376048236395079</v>
      </c>
      <c r="I45">
        <f t="shared" si="2"/>
        <v>1.5518701774279321E-6</v>
      </c>
      <c r="J45">
        <f t="shared" si="3"/>
        <v>0</v>
      </c>
      <c r="K45">
        <f t="shared" si="4"/>
        <v>0</v>
      </c>
      <c r="L45">
        <f t="shared" si="5"/>
        <v>0.99999844812982253</v>
      </c>
      <c r="M45">
        <f t="shared" si="6"/>
        <v>-1.5518713816259268E-6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-1.7737816377398632</v>
      </c>
      <c r="I46">
        <f t="shared" si="2"/>
        <v>0.14507267547493372</v>
      </c>
      <c r="J46">
        <f t="shared" si="3"/>
        <v>0</v>
      </c>
      <c r="K46">
        <f t="shared" si="4"/>
        <v>0</v>
      </c>
      <c r="L46">
        <f t="shared" si="5"/>
        <v>0.85492732452506626</v>
      </c>
      <c r="M46">
        <f t="shared" si="6"/>
        <v>-0.15673881421360683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-7.4909108591413851</v>
      </c>
      <c r="I47">
        <f t="shared" si="2"/>
        <v>5.5782300692510355E-4</v>
      </c>
      <c r="J47">
        <f t="shared" si="3"/>
        <v>0</v>
      </c>
      <c r="K47">
        <f t="shared" si="4"/>
        <v>0</v>
      </c>
      <c r="L47">
        <f t="shared" si="5"/>
        <v>0.99944217699307492</v>
      </c>
      <c r="M47">
        <f t="shared" si="6"/>
        <v>-5.5797864806144109E-4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1.1524684085641113</v>
      </c>
      <c r="I48">
        <f t="shared" si="2"/>
        <v>0.75996149299596616</v>
      </c>
      <c r="J48">
        <f t="shared" si="3"/>
        <v>1</v>
      </c>
      <c r="K48">
        <f t="shared" si="4"/>
        <v>0</v>
      </c>
      <c r="L48">
        <f t="shared" si="5"/>
        <v>0.75996149299596616</v>
      </c>
      <c r="M48">
        <f t="shared" si="6"/>
        <v>-0.27448751409595251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0.67204847241083643</v>
      </c>
      <c r="I49">
        <f t="shared" si="2"/>
        <v>0.6619616945860064</v>
      </c>
      <c r="J49">
        <f t="shared" si="3"/>
        <v>1</v>
      </c>
      <c r="K49">
        <f t="shared" si="4"/>
        <v>0</v>
      </c>
      <c r="L49">
        <f t="shared" si="5"/>
        <v>0.6619616945860064</v>
      </c>
      <c r="M49">
        <f t="shared" si="6"/>
        <v>-0.41254758788239859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-15.555693919596234</v>
      </c>
      <c r="I50">
        <f t="shared" si="2"/>
        <v>1.7548818906423584E-7</v>
      </c>
      <c r="J50">
        <f t="shared" si="3"/>
        <v>0</v>
      </c>
      <c r="K50">
        <f t="shared" si="4"/>
        <v>0</v>
      </c>
      <c r="L50">
        <f t="shared" si="5"/>
        <v>0.99999982451181091</v>
      </c>
      <c r="M50">
        <f t="shared" si="6"/>
        <v>-1.7548820448946467E-7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-7.4579683323226398E-2</v>
      </c>
      <c r="I51">
        <f t="shared" si="2"/>
        <v>0.48136371648653142</v>
      </c>
      <c r="J51">
        <f t="shared" si="3"/>
        <v>0</v>
      </c>
      <c r="K51">
        <f t="shared" si="4"/>
        <v>1</v>
      </c>
      <c r="L51">
        <f t="shared" si="5"/>
        <v>0.48136371648653142</v>
      </c>
      <c r="M51">
        <f t="shared" si="6"/>
        <v>-0.7311321272951854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-0.67849865215540728</v>
      </c>
      <c r="I52">
        <f t="shared" si="2"/>
        <v>0.33659647020992939</v>
      </c>
      <c r="J52">
        <f t="shared" si="3"/>
        <v>0</v>
      </c>
      <c r="K52">
        <f t="shared" si="4"/>
        <v>0</v>
      </c>
      <c r="L52">
        <f t="shared" si="5"/>
        <v>0.66340352979007067</v>
      </c>
      <c r="M52">
        <f t="shared" si="6"/>
        <v>-0.4103718317265258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-9.154047277513488</v>
      </c>
      <c r="I53">
        <f t="shared" si="2"/>
        <v>1.057795800159289E-4</v>
      </c>
      <c r="J53">
        <f t="shared" si="3"/>
        <v>0</v>
      </c>
      <c r="K53">
        <f t="shared" si="4"/>
        <v>0</v>
      </c>
      <c r="L53">
        <f t="shared" si="5"/>
        <v>0.9998942204199841</v>
      </c>
      <c r="M53">
        <f t="shared" si="6"/>
        <v>-1.0578517507023602E-4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-6.4967284620317525</v>
      </c>
      <c r="I54">
        <f t="shared" si="2"/>
        <v>1.5060940649987264E-3</v>
      </c>
      <c r="J54">
        <f t="shared" si="3"/>
        <v>0</v>
      </c>
      <c r="K54">
        <f t="shared" si="4"/>
        <v>0</v>
      </c>
      <c r="L54">
        <f t="shared" si="5"/>
        <v>0.99849390593500131</v>
      </c>
      <c r="M54">
        <f t="shared" si="6"/>
        <v>-1.5072293647202966E-3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-0.9276131263671763</v>
      </c>
      <c r="I55">
        <f t="shared" si="2"/>
        <v>0.28340921022309118</v>
      </c>
      <c r="J55">
        <f t="shared" si="3"/>
        <v>0</v>
      </c>
      <c r="K55">
        <f t="shared" si="4"/>
        <v>0</v>
      </c>
      <c r="L55">
        <f t="shared" si="5"/>
        <v>0.71659078977690882</v>
      </c>
      <c r="M55">
        <f t="shared" si="6"/>
        <v>-0.33325032686355777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-0.56859319689863774</v>
      </c>
      <c r="I56">
        <f t="shared" si="2"/>
        <v>0.3615615006522217</v>
      </c>
      <c r="J56">
        <f t="shared" si="3"/>
        <v>0</v>
      </c>
      <c r="K56">
        <f t="shared" si="4"/>
        <v>0</v>
      </c>
      <c r="L56">
        <f t="shared" si="5"/>
        <v>0.6384384993477783</v>
      </c>
      <c r="M56">
        <f t="shared" si="6"/>
        <v>-0.44872992866897821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-2.4556838599748332E-2</v>
      </c>
      <c r="I57">
        <f t="shared" si="2"/>
        <v>0.49386109884634982</v>
      </c>
      <c r="J57">
        <f t="shared" si="3"/>
        <v>0</v>
      </c>
      <c r="K57">
        <f t="shared" si="4"/>
        <v>0</v>
      </c>
      <c r="L57">
        <f t="shared" si="5"/>
        <v>0.50613890115365012</v>
      </c>
      <c r="M57">
        <f t="shared" si="6"/>
        <v>-0.68094413915636143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0.50931551724554991</v>
      </c>
      <c r="I58">
        <f t="shared" si="2"/>
        <v>0.62464600202971343</v>
      </c>
      <c r="J58">
        <f t="shared" si="3"/>
        <v>1</v>
      </c>
      <c r="K58">
        <f t="shared" si="4"/>
        <v>0</v>
      </c>
      <c r="L58">
        <f t="shared" si="5"/>
        <v>0.62464600202971343</v>
      </c>
      <c r="M58">
        <f t="shared" si="6"/>
        <v>-0.47057018646142806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0.28796137526565158</v>
      </c>
      <c r="I59">
        <f t="shared" si="2"/>
        <v>0.57149697075265771</v>
      </c>
      <c r="J59">
        <f t="shared" si="3"/>
        <v>1</v>
      </c>
      <c r="K59">
        <f t="shared" si="4"/>
        <v>0</v>
      </c>
      <c r="L59">
        <f t="shared" si="5"/>
        <v>0.57149697075265771</v>
      </c>
      <c r="M59">
        <f t="shared" si="6"/>
        <v>-0.55949609628160346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-4.0790287587919298</v>
      </c>
      <c r="I60">
        <f t="shared" si="2"/>
        <v>1.6642243281654253E-2</v>
      </c>
      <c r="J60">
        <f t="shared" si="3"/>
        <v>0</v>
      </c>
      <c r="K60">
        <f t="shared" si="4"/>
        <v>0</v>
      </c>
      <c r="L60">
        <f t="shared" si="5"/>
        <v>0.9833577567183458</v>
      </c>
      <c r="M60">
        <f t="shared" si="6"/>
        <v>-1.6782281284132231E-2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0.43181164971200087</v>
      </c>
      <c r="J61">
        <f t="shared" si="3"/>
        <v>0</v>
      </c>
      <c r="K61">
        <f t="shared" si="4"/>
        <v>0</v>
      </c>
      <c r="L61">
        <f t="shared" si="5"/>
        <v>0.56818835028799919</v>
      </c>
      <c r="M61">
        <f t="shared" si="6"/>
        <v>-0.56530231260926622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0.72011042540129289</v>
      </c>
      <c r="I62">
        <f t="shared" si="2"/>
        <v>0.67263133303047606</v>
      </c>
      <c r="J62">
        <f t="shared" si="3"/>
        <v>1</v>
      </c>
      <c r="K62">
        <f t="shared" si="4"/>
        <v>0</v>
      </c>
      <c r="L62">
        <f t="shared" si="5"/>
        <v>0.67263133303047606</v>
      </c>
      <c r="M62">
        <f t="shared" si="6"/>
        <v>-0.39655789582126211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1.2473535525421089</v>
      </c>
      <c r="I63">
        <f t="shared" si="2"/>
        <v>0.77684141228169412</v>
      </c>
      <c r="J63">
        <f t="shared" si="3"/>
        <v>1</v>
      </c>
      <c r="K63">
        <f t="shared" si="4"/>
        <v>0</v>
      </c>
      <c r="L63">
        <f t="shared" si="5"/>
        <v>0.77684141228169412</v>
      </c>
      <c r="M63">
        <f t="shared" si="6"/>
        <v>-0.25251905204382163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-7.7620230636909149E-2</v>
      </c>
      <c r="I64">
        <f t="shared" si="2"/>
        <v>0.48060467926906697</v>
      </c>
      <c r="J64">
        <f t="shared" si="3"/>
        <v>0</v>
      </c>
      <c r="K64">
        <f t="shared" si="4"/>
        <v>0</v>
      </c>
      <c r="L64">
        <f t="shared" si="5"/>
        <v>0.51939532073093297</v>
      </c>
      <c r="M64">
        <f t="shared" si="6"/>
        <v>-0.65508998878341751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0.39745277145614555</v>
      </c>
      <c r="I65">
        <f t="shared" si="2"/>
        <v>0.59807550753098992</v>
      </c>
      <c r="J65">
        <f t="shared" si="3"/>
        <v>1</v>
      </c>
      <c r="K65">
        <f t="shared" si="4"/>
        <v>1</v>
      </c>
      <c r="L65">
        <f t="shared" si="5"/>
        <v>0.40192449246901008</v>
      </c>
      <c r="M65">
        <f t="shared" si="6"/>
        <v>-0.91149103768439876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0.52190809931173376</v>
      </c>
      <c r="I66">
        <f t="shared" si="2"/>
        <v>0.62759383539324487</v>
      </c>
      <c r="J66">
        <f t="shared" si="3"/>
        <v>1</v>
      </c>
      <c r="K66">
        <f t="shared" si="4"/>
        <v>0</v>
      </c>
      <c r="L66">
        <f t="shared" si="5"/>
        <v>0.62759383539324487</v>
      </c>
      <c r="M66">
        <f t="shared" si="6"/>
        <v>-0.46586208068067075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2.3042416767857419</v>
      </c>
      <c r="I67">
        <f t="shared" si="2"/>
        <v>0.90922772409238151</v>
      </c>
      <c r="J67">
        <f t="shared" si="3"/>
        <v>1</v>
      </c>
      <c r="K67">
        <f t="shared" si="4"/>
        <v>0</v>
      </c>
      <c r="L67">
        <f t="shared" si="5"/>
        <v>0.90922772409238151</v>
      </c>
      <c r="M67">
        <f t="shared" si="6"/>
        <v>-9.5159694626167621E-2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1.7329940952206213</v>
      </c>
      <c r="I68">
        <f t="shared" si="2"/>
        <v>0.84979499732186259</v>
      </c>
      <c r="J68">
        <f t="shared" si="3"/>
        <v>1</v>
      </c>
      <c r="K68">
        <f t="shared" si="4"/>
        <v>0</v>
      </c>
      <c r="L68">
        <f t="shared" si="5"/>
        <v>0.84979499732186259</v>
      </c>
      <c r="M68">
        <f t="shared" si="6"/>
        <v>-0.16276013820759505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1.3482544701921544</v>
      </c>
      <c r="I69">
        <f t="shared" si="2"/>
        <v>0.79384410892104784</v>
      </c>
      <c r="J69">
        <f t="shared" si="3"/>
        <v>1</v>
      </c>
      <c r="K69">
        <f t="shared" si="4"/>
        <v>1</v>
      </c>
      <c r="L69">
        <f t="shared" si="5"/>
        <v>0.20615589107895216</v>
      </c>
      <c r="M69">
        <f t="shared" si="6"/>
        <v>-1.5791226435751409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-1.6644847210567031</v>
      </c>
      <c r="I70">
        <f t="shared" si="2"/>
        <v>0.15916089471712602</v>
      </c>
      <c r="J70">
        <f t="shared" si="3"/>
        <v>0</v>
      </c>
      <c r="K70">
        <f t="shared" si="4"/>
        <v>0</v>
      </c>
      <c r="L70">
        <f t="shared" si="5"/>
        <v>0.84083910528287398</v>
      </c>
      <c r="M70">
        <f t="shared" si="6"/>
        <v>-0.17335495088762073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-19.833499520906663</v>
      </c>
      <c r="I71">
        <f t="shared" ref="I71:I92" si="8">1/(1+EXP(0-H71))</f>
        <v>2.4345606611059843E-9</v>
      </c>
      <c r="J71">
        <f t="shared" ref="J71:J91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 -1000000, LN(L71))</f>
        <v>-2.4345606671408972E-9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2.3753039525252135</v>
      </c>
      <c r="I72">
        <f t="shared" si="8"/>
        <v>0.91492461690059002</v>
      </c>
      <c r="J72">
        <f t="shared" si="9"/>
        <v>1</v>
      </c>
      <c r="K72">
        <f t="shared" si="10"/>
        <v>0</v>
      </c>
      <c r="L72">
        <f t="shared" si="11"/>
        <v>0.91492461690059002</v>
      </c>
      <c r="M72">
        <f t="shared" si="12"/>
        <v>-8.8913603001515004E-2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-53.328082486112933</v>
      </c>
      <c r="I73">
        <f t="shared" si="8"/>
        <v>6.9168450341374988E-24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-0.52794643754044923</v>
      </c>
      <c r="I74">
        <f t="shared" si="8"/>
        <v>0.37099597609529883</v>
      </c>
      <c r="J74">
        <f t="shared" si="9"/>
        <v>0</v>
      </c>
      <c r="K74">
        <f t="shared" si="10"/>
        <v>0</v>
      </c>
      <c r="L74">
        <f t="shared" si="11"/>
        <v>0.62900402390470123</v>
      </c>
      <c r="M74">
        <f t="shared" si="12"/>
        <v>-0.46361762499738779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-6.7022061883600212</v>
      </c>
      <c r="I75">
        <f t="shared" si="8"/>
        <v>1.2266926495285613E-3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-1.2274456528221698E-3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0.16518746302555787</v>
      </c>
      <c r="I76">
        <f t="shared" si="8"/>
        <v>0.54120321600910304</v>
      </c>
      <c r="J76">
        <f t="shared" si="9"/>
        <v>1</v>
      </c>
      <c r="K76">
        <f t="shared" si="10"/>
        <v>1</v>
      </c>
      <c r="L76">
        <f t="shared" si="11"/>
        <v>0.45879678399089696</v>
      </c>
      <c r="M76">
        <f t="shared" si="12"/>
        <v>-0.77914790336156525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2.2963839637173269</v>
      </c>
      <c r="I77">
        <f t="shared" si="8"/>
        <v>0.90857711731434598</v>
      </c>
      <c r="J77">
        <f t="shared" si="9"/>
        <v>1</v>
      </c>
      <c r="K77">
        <f t="shared" si="10"/>
        <v>0</v>
      </c>
      <c r="L77">
        <f t="shared" si="11"/>
        <v>0.90857711731434598</v>
      </c>
      <c r="M77">
        <f t="shared" si="12"/>
        <v>-9.5875510527848845E-2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0.8152644144797927</v>
      </c>
      <c r="I78">
        <f t="shared" si="8"/>
        <v>0.69323018313634011</v>
      </c>
      <c r="J78">
        <f t="shared" si="9"/>
        <v>1</v>
      </c>
      <c r="K78">
        <f t="shared" si="10"/>
        <v>0</v>
      </c>
      <c r="L78">
        <f t="shared" si="11"/>
        <v>0.69323018313634011</v>
      </c>
      <c r="M78">
        <f t="shared" si="12"/>
        <v>-0.36639318034546675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4.6324511294030479E-2</v>
      </c>
      <c r="I79">
        <f t="shared" si="8"/>
        <v>0.51157905721442776</v>
      </c>
      <c r="J79">
        <f t="shared" si="9"/>
        <v>1</v>
      </c>
      <c r="K79">
        <f t="shared" si="10"/>
        <v>0</v>
      </c>
      <c r="L79">
        <f t="shared" si="11"/>
        <v>0.51157905721442776</v>
      </c>
      <c r="M79">
        <f t="shared" si="12"/>
        <v>-0.67025314597455532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-7.4529788812042597</v>
      </c>
      <c r="I80">
        <f t="shared" si="8"/>
        <v>5.7937627246193609E-4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-5.7954417575042797E-4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-3.2141692837722537</v>
      </c>
      <c r="I81">
        <f t="shared" si="8"/>
        <v>3.8635975532900158E-2</v>
      </c>
      <c r="J81">
        <f t="shared" si="9"/>
        <v>0</v>
      </c>
      <c r="K81">
        <f t="shared" si="10"/>
        <v>0</v>
      </c>
      <c r="L81">
        <f t="shared" si="11"/>
        <v>0.96136402446709979</v>
      </c>
      <c r="M81">
        <f t="shared" si="12"/>
        <v>-3.9402144165108219E-2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-4.3986564989994221</v>
      </c>
      <c r="I82">
        <f t="shared" si="8"/>
        <v>1.2144542476573083E-2</v>
      </c>
      <c r="J82">
        <f t="shared" si="9"/>
        <v>0</v>
      </c>
      <c r="K82">
        <f t="shared" si="10"/>
        <v>0</v>
      </c>
      <c r="L82">
        <f t="shared" si="11"/>
        <v>0.98785545752342696</v>
      </c>
      <c r="M82">
        <f t="shared" si="12"/>
        <v>-1.2218889990084861E-2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-12.105247512725235</v>
      </c>
      <c r="I83">
        <f t="shared" si="8"/>
        <v>5.5303854505840724E-6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-5.5304007432297004E-6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-5.7237932693070679</v>
      </c>
      <c r="I84">
        <f t="shared" si="8"/>
        <v>3.2566531992474219E-3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-3.2619676355983471E-3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0.12191720072128298</v>
      </c>
      <c r="I85">
        <f t="shared" si="8"/>
        <v>0.53044160301675314</v>
      </c>
      <c r="J85">
        <f t="shared" si="9"/>
        <v>1</v>
      </c>
      <c r="K85">
        <f t="shared" si="10"/>
        <v>1</v>
      </c>
      <c r="L85">
        <f t="shared" si="11"/>
        <v>0.46955839698324686</v>
      </c>
      <c r="M85">
        <f t="shared" si="12"/>
        <v>-0.75596260684754912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0.28097571448397218</v>
      </c>
      <c r="I86">
        <f t="shared" si="8"/>
        <v>0.56978541709419306</v>
      </c>
      <c r="J86">
        <f t="shared" si="9"/>
        <v>1</v>
      </c>
      <c r="K86">
        <f t="shared" si="10"/>
        <v>1</v>
      </c>
      <c r="L86">
        <f t="shared" si="11"/>
        <v>0.43021458290580694</v>
      </c>
      <c r="M86">
        <f t="shared" si="12"/>
        <v>-0.84347116475509243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-3.93643630092709</v>
      </c>
      <c r="I87">
        <f t="shared" si="8"/>
        <v>1.9144000155230215E-2</v>
      </c>
      <c r="J87">
        <f t="shared" si="9"/>
        <v>0</v>
      </c>
      <c r="K87">
        <f t="shared" si="10"/>
        <v>1</v>
      </c>
      <c r="L87">
        <f t="shared" si="11"/>
        <v>1.9144000155230215E-2</v>
      </c>
      <c r="M87">
        <f t="shared" si="12"/>
        <v>-3.955765920267508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-0.66328468977474841</v>
      </c>
      <c r="I88">
        <f t="shared" si="8"/>
        <v>0.34000213800466894</v>
      </c>
      <c r="J88">
        <f t="shared" si="9"/>
        <v>0</v>
      </c>
      <c r="K88">
        <f t="shared" si="10"/>
        <v>1</v>
      </c>
      <c r="L88">
        <f t="shared" si="11"/>
        <v>0.34000213800466894</v>
      </c>
      <c r="M88">
        <f t="shared" si="12"/>
        <v>-1.0788033731426747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1.7267191722579933</v>
      </c>
      <c r="I89">
        <f t="shared" si="8"/>
        <v>0.84899228517618719</v>
      </c>
      <c r="J89">
        <f t="shared" si="9"/>
        <v>1</v>
      </c>
      <c r="K89">
        <f t="shared" si="10"/>
        <v>0</v>
      </c>
      <c r="L89">
        <f t="shared" si="11"/>
        <v>0.84899228517618719</v>
      </c>
      <c r="M89">
        <f t="shared" si="12"/>
        <v>-0.16370517966591946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-24.787695656700652</v>
      </c>
      <c r="I90">
        <f t="shared" si="8"/>
        <v>1.7172778061171271E-11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-1.717281872274691E-11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-3.2932812337692976</v>
      </c>
      <c r="I91">
        <f t="shared" si="8"/>
        <v>3.5802403066229373E-2</v>
      </c>
      <c r="J91">
        <f t="shared" si="9"/>
        <v>0</v>
      </c>
      <c r="K91">
        <f t="shared" si="10"/>
        <v>0</v>
      </c>
      <c r="L91">
        <f t="shared" si="11"/>
        <v>0.96419759693377061</v>
      </c>
      <c r="M91">
        <f t="shared" si="12"/>
        <v>-3.6459029303940155E-2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-2.5229622441192019</v>
      </c>
      <c r="I92">
        <f t="shared" si="8"/>
        <v>7.4264037164898239E-2</v>
      </c>
      <c r="J92">
        <f>IF(I92&lt;=0.5,0,1)</f>
        <v>0</v>
      </c>
      <c r="K92">
        <f t="shared" si="10"/>
        <v>0</v>
      </c>
      <c r="L92">
        <f t="shared" si="11"/>
        <v>0.92573596283510173</v>
      </c>
      <c r="M92">
        <f t="shared" si="12"/>
        <v>-7.7166222322438471E-2</v>
      </c>
    </row>
    <row r="95" spans="1:13" x14ac:dyDescent="0.3">
      <c r="A95" s="2" t="s">
        <v>21</v>
      </c>
      <c r="B95" s="2"/>
      <c r="C95" s="2"/>
      <c r="D95" s="2"/>
      <c r="E95" s="2"/>
      <c r="F95" s="2"/>
      <c r="G95" s="2"/>
      <c r="H95" s="2"/>
      <c r="I95" s="2"/>
      <c r="J95" s="2"/>
    </row>
    <row r="96" spans="1:13" x14ac:dyDescent="0.3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17</v>
      </c>
      <c r="G96" s="1"/>
      <c r="H96" s="1" t="s">
        <v>8</v>
      </c>
      <c r="I96" s="1" t="s">
        <v>7</v>
      </c>
      <c r="J96" s="1" t="s">
        <v>11</v>
      </c>
    </row>
    <row r="97" spans="1:10" x14ac:dyDescent="0.3">
      <c r="A97">
        <v>1</v>
      </c>
      <c r="B97">
        <v>23.1</v>
      </c>
      <c r="C97">
        <v>45.6</v>
      </c>
      <c r="D97">
        <v>16.3</v>
      </c>
      <c r="E97">
        <v>77.900000000000006</v>
      </c>
      <c r="F97">
        <v>250.5</v>
      </c>
      <c r="H97">
        <f>$G$4+SUMPRODUCT($B$4:$F$4, B97:F97)</f>
        <v>2.0487035140492438E-2</v>
      </c>
      <c r="I97">
        <f>1/(1+EXP(0-H97))</f>
        <v>0.50512157965118565</v>
      </c>
      <c r="J97">
        <f>IF(I97&lt;=0.5,0,1)</f>
        <v>1</v>
      </c>
    </row>
    <row r="98" spans="1:10" x14ac:dyDescent="0.3">
      <c r="A98">
        <v>2</v>
      </c>
      <c r="B98">
        <v>508.4</v>
      </c>
      <c r="C98">
        <v>31.9</v>
      </c>
      <c r="D98">
        <v>16.2</v>
      </c>
      <c r="E98">
        <v>24.3</v>
      </c>
      <c r="F98">
        <v>45.5</v>
      </c>
      <c r="H98">
        <f t="shared" ref="H98:H101" si="13">$G$4+SUMPRODUCT($B$4:$F$4, B98:F98)</f>
        <v>-8.3680716664825496</v>
      </c>
      <c r="I98">
        <f t="shared" ref="I98:I101" si="14">1/(1+EXP(0-H98))</f>
        <v>2.3210892263797822E-4</v>
      </c>
      <c r="J98">
        <f t="shared" ref="J98:J101" si="15">IF(I98&lt;=0.5,0,1)</f>
        <v>0</v>
      </c>
    </row>
    <row r="99" spans="1:10" x14ac:dyDescent="0.3">
      <c r="A99">
        <v>3</v>
      </c>
      <c r="B99">
        <v>86.1</v>
      </c>
      <c r="C99">
        <v>59</v>
      </c>
      <c r="D99">
        <v>18.5</v>
      </c>
      <c r="E99">
        <v>59.3</v>
      </c>
      <c r="F99">
        <v>483.8</v>
      </c>
      <c r="H99">
        <f t="shared" si="13"/>
        <v>-2.266606777363978</v>
      </c>
      <c r="I99">
        <f t="shared" si="14"/>
        <v>9.3926592737768183E-2</v>
      </c>
      <c r="J99">
        <f t="shared" si="15"/>
        <v>0</v>
      </c>
    </row>
    <row r="100" spans="1:10" x14ac:dyDescent="0.3">
      <c r="A100">
        <v>4</v>
      </c>
      <c r="B100">
        <v>8</v>
      </c>
      <c r="C100">
        <v>67.2</v>
      </c>
      <c r="D100">
        <v>51.2</v>
      </c>
      <c r="E100">
        <v>191.4</v>
      </c>
      <c r="F100">
        <v>80.2</v>
      </c>
      <c r="H100">
        <f t="shared" si="13"/>
        <v>-3.8051508613353935</v>
      </c>
      <c r="I100">
        <f t="shared" si="14"/>
        <v>2.177130079385374E-2</v>
      </c>
      <c r="J100">
        <f t="shared" si="15"/>
        <v>0</v>
      </c>
    </row>
    <row r="101" spans="1:10" x14ac:dyDescent="0.3">
      <c r="A101">
        <v>5</v>
      </c>
      <c r="B101">
        <v>55.5</v>
      </c>
      <c r="C101">
        <v>97.5</v>
      </c>
      <c r="D101">
        <v>8.8000000000000007</v>
      </c>
      <c r="E101">
        <v>28.2</v>
      </c>
      <c r="F101">
        <v>72.2</v>
      </c>
      <c r="H101">
        <f t="shared" si="13"/>
        <v>0.88942143607384905</v>
      </c>
      <c r="I101">
        <f t="shared" si="14"/>
        <v>0.70877076285369578</v>
      </c>
      <c r="J101">
        <f t="shared" si="15"/>
        <v>1</v>
      </c>
    </row>
  </sheetData>
  <mergeCells count="1">
    <mergeCell ref="A95:J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2025-11-24T11:52:29Z</dcterms:modified>
</cp:coreProperties>
</file>